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34a708f06d205e/Desktop/"/>
    </mc:Choice>
  </mc:AlternateContent>
  <xr:revisionPtr revIDLastSave="8" documentId="13_ncr:1_{3C2F8ED6-40B2-4E08-832A-7140AC03FA60}" xr6:coauthVersionLast="47" xr6:coauthVersionMax="47" xr10:uidLastSave="{B31C18C4-50A5-4673-95C5-5E7046C44F73}"/>
  <bookViews>
    <workbookView xWindow="-120" yWindow="-11640" windowWidth="20730" windowHeight="1116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Plan">#N/A</definedName>
  </definedNames>
  <calcPr calcId="191029"/>
  <pivotCaches>
    <pivotCache cacheId="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97" i="2" l="1"/>
  <c r="H297" i="2"/>
  <c r="D15" i="3"/>
  <c r="D8" i="3"/>
  <c r="G297" i="2"/>
  <c r="I297" i="2"/>
  <c r="K297" i="2"/>
  <c r="L297" i="2"/>
  <c r="M297" i="2"/>
  <c r="F297" i="2"/>
</calcChain>
</file>

<file path=xl/sharedStrings.xml><?xml version="1.0" encoding="utf-8"?>
<sst xmlns="http://schemas.openxmlformats.org/spreadsheetml/2006/main" count="2004" uniqueCount="320">
  <si>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</si>
  <si>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</si>
  <si>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</si>
  <si>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</si>
  <si>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</si>
  <si>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</si>
  <si>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</si>
  <si>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</si>
  <si>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</si>
  <si>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</si>
  <si>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</si>
  <si>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</si>
  <si>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</si>
  <si>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</si>
  <si>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</si>
  <si>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</si>
  <si>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</si>
  <si>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</si>
  <si>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</si>
  <si>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</si>
  <si>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</si>
  <si>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</si>
  <si>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</si>
  <si>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</si>
  <si>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</si>
  <si>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</si>
  <si>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</si>
  <si>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</si>
  <si>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</si>
  <si>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</si>
  <si>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</si>
  <si>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</si>
  <si>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</si>
  <si>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</si>
  <si>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</si>
  <si>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</si>
  <si>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</si>
  <si>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</si>
  <si>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</si>
  <si>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</si>
  <si>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</si>
  <si>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</si>
  <si>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</si>
  <si>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</si>
  <si>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</si>
  <si>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</si>
  <si>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</si>
  <si>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</si>
  <si>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</si>
  <si>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</si>
  <si>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</si>
  <si>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</si>
  <si>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</si>
  <si>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</si>
  <si>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</si>
  <si>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</si>
  <si>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</si>
  <si>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</si>
  <si>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</si>
  <si>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</si>
  <si>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</si>
  <si>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</si>
  <si>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</si>
  <si>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</si>
  <si>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</si>
  <si>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</si>
  <si>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</si>
  <si>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</si>
  <si>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</si>
  <si>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</si>
  <si>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</si>
  <si>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</si>
  <si>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</si>
  <si>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</si>
  <si>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</si>
  <si>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</si>
  <si>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</si>
  <si>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</si>
  <si>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</si>
  <si>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</si>
  <si>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</si>
  <si>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</si>
  <si>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</si>
  <si>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</si>
  <si>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</si>
  <si>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</si>
  <si>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</si>
  <si>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</si>
  <si>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</si>
  <si>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</si>
  <si>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</si>
  <si>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</si>
  <si>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</si>
  <si>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</si>
  <si>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</si>
  <si>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</si>
  <si>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</si>
  <si>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</si>
  <si>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</si>
  <si>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</si>
  <si>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</si>
  <si>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</si>
  <si>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</si>
  <si>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</si>
  <si>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</si>
  <si>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</si>
  <si>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</si>
  <si>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</si>
  <si>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</si>
  <si>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</si>
  <si>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</si>
  <si>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</si>
  <si>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</si>
  <si>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</si>
  <si>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</si>
  <si>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</si>
  <si>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</si>
  <si>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</si>
  <si>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</si>
  <si>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</si>
  <si>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</si>
  <si>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</si>
  <si>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</si>
  <si>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</si>
  <si>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</si>
  <si>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</si>
  <si>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</si>
  <si>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</si>
  <si>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</si>
  <si>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</si>
  <si>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</si>
  <si>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</si>
  <si>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</si>
  <si>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</si>
  <si>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</si>
  <si>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</si>
  <si>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</si>
  <si>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</si>
  <si>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</si>
  <si>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</si>
  <si>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</si>
  <si>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</si>
  <si>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</si>
  <si>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</si>
  <si>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</si>
  <si>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</si>
  <si>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</si>
  <si>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</si>
  <si>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</si>
  <si>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</si>
  <si>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</si>
  <si>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</si>
  <si>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</si>
  <si>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</si>
  <si>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</si>
  <si>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</si>
  <si>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</si>
  <si>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</si>
  <si>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</si>
  <si>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</si>
  <si>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</si>
  <si>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</si>
  <si>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</si>
  <si>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</si>
  <si>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</si>
  <si>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</si>
  <si>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</si>
  <si>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</si>
  <si>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</si>
  <si>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</si>
  <si>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</si>
  <si>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</si>
  <si>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</si>
  <si>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</si>
  <si>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</si>
  <si>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</si>
  <si>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</si>
  <si>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</si>
  <si>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</si>
  <si>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</si>
  <si>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</si>
  <si>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</si>
  <si>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</si>
  <si>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</si>
  <si>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</si>
  <si>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</si>
  <si>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</si>
  <si>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</si>
  <si>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</si>
  <si>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</si>
  <si>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</si>
  <si>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</si>
  <si>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</si>
  <si>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</si>
  <si>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</si>
  <si>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</si>
  <si>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</si>
  <si>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</si>
  <si>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</si>
  <si>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</si>
  <si>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</si>
  <si>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</si>
  <si>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</si>
  <si>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</si>
  <si>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</si>
  <si>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</si>
  <si>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</si>
  <si>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</si>
  <si>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</si>
  <si>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</si>
  <si>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</si>
  <si>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</si>
  <si>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</si>
  <si>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</si>
  <si>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</si>
  <si>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</si>
  <si>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</si>
  <si>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</si>
  <si>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</si>
  <si>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</si>
  <si>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</si>
  <si>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</si>
  <si>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</si>
  <si>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</si>
  <si>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</si>
  <si>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</si>
  <si>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</si>
  <si>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</si>
  <si>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</si>
  <si>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</si>
  <si>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</si>
  <si>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</si>
  <si>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</si>
  <si>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</si>
  <si>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</si>
  <si>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</si>
  <si>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</si>
  <si>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</si>
  <si>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</si>
  <si>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</si>
  <si>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</si>
  <si>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</si>
  <si>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</si>
  <si>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</si>
  <si>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</si>
  <si>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</si>
  <si>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</si>
  <si>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</si>
  <si>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</si>
  <si>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</si>
  <si>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</si>
  <si>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</si>
  <si>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</si>
  <si>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</si>
  <si>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</si>
  <si>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</si>
  <si>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</si>
  <si>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</si>
  <si>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</si>
  <si>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</si>
  <si>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</si>
  <si>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</si>
  <si>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</si>
  <si>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</si>
  <si>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</si>
  <si>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</si>
  <si>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</si>
  <si>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</si>
  <si>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</si>
  <si>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</si>
  <si>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</si>
  <si>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</si>
  <si>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</si>
  <si>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</si>
  <si>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</si>
  <si>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</si>
  <si>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</si>
  <si>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</si>
  <si>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</si>
  <si>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</si>
  <si>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</si>
  <si>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</si>
  <si>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</si>
  <si>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</si>
  <si>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</si>
  <si>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</si>
  <si>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</si>
  <si>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</si>
  <si>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</si>
  <si>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</si>
  <si>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</si>
  <si>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</si>
  <si>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</si>
  <si>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</si>
  <si>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</si>
  <si>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</si>
  <si>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</si>
  <si>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</si>
  <si>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</si>
  <si>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</si>
  <si>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</si>
  <si>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</si>
  <si>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</si>
  <si>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</si>
  <si>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</si>
  <si>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</si>
  <si>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</si>
  <si>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</si>
  <si>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</si>
  <si>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</si>
  <si>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</si>
  <si>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</si>
  <si>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</si>
  <si>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</si>
  <si>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</si>
  <si>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Subscription Price</t>
  </si>
  <si>
    <t>FATURAMENTO ANUAL: ANO VIGENTE 2016</t>
  </si>
  <si>
    <t>Contagem de Subscription Price</t>
  </si>
  <si>
    <t>Contagem de EA Play Season Pass</t>
  </si>
  <si>
    <t>Contagem de Minecraft Season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</si>
</sst>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Fill="1"/>
    <xf numFmtId="0" fontId="0" fillId="0" borderId="0" xfId="0" applyNumberFormat="1"/>
    <xf numFmtId="44" fontId="0" fillId="0" borderId="0" xfId="0" applyNumberFormat="1" applyFont="1" applyAlignment="1">
      <alignment horizontal="center" vertical="center" wrapText="1"/>
    </xf>
    <xf numFmtId="0" fontId="4" fillId="4" borderId="0" xfId="0" applyFont="1" applyFill="1" applyAlignment="1">
      <alignment horizontal="left" vertical="center"/>
    </xf>
    <xf numFmtId="44" fontId="0" fillId="0" borderId="0" xfId="2" applyFont="1"/>
    <xf numFmtId="0" fontId="0" fillId="0" borderId="0" xfId="0" applyNumberFormat="1" applyFont="1" applyAlignment="1">
      <alignment horizontal="center" vertical="center" wrapText="1"/>
    </xf>
  </cellXfs>
  <cellStyles count="3">
    <cellStyle name="Moeda" xfId="2" builtinId="4"/>
    <cellStyle name="Normal" xfId="0" builtinId="0"/>
    <cellStyle name="Título 1" xfId="1" builtinId="16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fill>
        <patternFill>
          <fgColor rgb="FF22C55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>
          <bgColor rgb="FF00B050"/>
        </patternFill>
      </fill>
    </dxf>
    <dxf>
      <font>
        <name val="Calibri"/>
        <family val="2"/>
      </font>
      <fill>
        <patternFill>
          <bgColor rgb="FF92D050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name val="Calibri"/>
        <family val="2"/>
      </font>
    </dxf>
    <dxf>
      <fill>
        <patternFill patternType="none">
          <bgColor auto="1"/>
        </patternFill>
      </fill>
    </dxf>
  </dxfs>
  <tableStyles count="5" defaultTableStyle="TableStyleMedium2" defaultPivotStyle="PivotStyleLight16">
    <tableStyle name="Estilo de Segmentação de Dados 1" pivot="0" table="0" count="1" xr9:uid="{519A2E90-9E3F-4E39-8A37-3ABEBC724C99}">
      <tableStyleElement type="wholeTable" dxfId="31"/>
    </tableStyle>
    <tableStyle name="Estilo de Segmentação de Dados 2" pivot="0" table="0" count="1" xr9:uid="{3178B3ED-1DBC-4901-B6E2-46981D76D3C2}">
      <tableStyleElement type="wholeTable" dxfId="30"/>
    </tableStyle>
    <tableStyle name="Estilo de Segmentação de Dados 3" pivot="0" table="0" count="1" xr9:uid="{D7290BD9-D001-4003-ABAA-A3CE794B6EC9}">
      <tableStyleElement type="wholeTable" dxfId="29"/>
    </tableStyle>
    <tableStyle name="Estilo de Segmentação de Dados 4" pivot="0" table="0" count="1" xr9:uid="{9666A26E-629D-42D3-AAC6-33550155E235}">
      <tableStyleElement type="wholeTable" dxfId="28"/>
    </tableStyle>
    <tableStyle name="Estilo de Segmentação de Dados 5" pivot="0" table="0" count="1" xr9:uid="{53F3E371-EABC-4703-8A9B-5AEB3B37A783}">
      <tableStyleElement type="wholeTable" dxfId="2"/>
    </tableStyle>
  </tableStyles>
  <colors>
    <mruColors>
      <color rgb="FF22C55E"/>
      <color rgb="FF5BF6A8"/>
      <color rgb="FFE8E6E9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  <x14:slicerStyle name="Estilo de Segmentação de Dados 3"/>
        <x14:slicerStyle name="Estilo de Segmentação de Dados 4"/>
        <x14:slicerStyle name="Estilo de Segmentação de Dados 5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[arquivo base do projeto dashboard.xlsx]C̳álculos!Tabela dinâmica1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de assinantes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5.4884270648153113E-2"/>
          <c:y val="0.18303258967629046"/>
          <c:w val="0.91954494941860987"/>
          <c:h val="0.718487532808398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C̳álculos!$B$5:$B$6</c:f>
              <c:strCache>
                <c:ptCount val="1"/>
                <c:pt idx="0">
                  <c:v>Core</c:v>
                </c:pt>
              </c:strCache>
            </c:strRef>
          </c:cat>
          <c:val>
            <c:numRef>
              <c:f>C̳álculos!$C$5:$C$6</c:f>
              <c:numCache>
                <c:formatCode>General</c:formatCode>
                <c:ptCount val="1"/>
                <c:pt idx="0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D15-46E4-9BE3-FF0103988B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972951167"/>
        <c:axId val="1972950207"/>
      </c:barChart>
      <c:catAx>
        <c:axId val="1972951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2950207"/>
        <c:crosses val="autoZero"/>
        <c:auto val="1"/>
        <c:lblAlgn val="ctr"/>
        <c:lblOffset val="100"/>
        <c:noMultiLvlLbl val="0"/>
      </c:catAx>
      <c:valAx>
        <c:axId val="197295020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2951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7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7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381000</xdr:colOff>
      <xdr:row>1</xdr:row>
      <xdr:rowOff>33338</xdr:rowOff>
    </xdr:from>
    <xdr:to>
      <xdr:col>0</xdr:col>
      <xdr:colOff>1478149</xdr:colOff>
      <xdr:row>6</xdr:row>
      <xdr:rowOff>130967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B1195CD-B8ED-4B62-A9F8-89592C7BEB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6676" b="-3651"/>
        <a:stretch/>
      </xdr:blipFill>
      <xdr:spPr>
        <a:xfrm>
          <a:off x="381000" y="223838"/>
          <a:ext cx="1097149" cy="1050129"/>
        </a:xfrm>
        <a:prstGeom prst="rect">
          <a:avLst/>
        </a:prstGeom>
      </xdr:spPr>
    </xdr:pic>
    <xdr:clientData/>
  </xdr:twoCellAnchor>
  <xdr:twoCellAnchor>
    <xdr:from>
      <xdr:col>1</xdr:col>
      <xdr:colOff>226217</xdr:colOff>
      <xdr:row>18</xdr:row>
      <xdr:rowOff>11908</xdr:rowOff>
    </xdr:from>
    <xdr:to>
      <xdr:col>5</xdr:col>
      <xdr:colOff>130968</xdr:colOff>
      <xdr:row>23</xdr:row>
      <xdr:rowOff>47625</xdr:rowOff>
    </xdr:to>
    <xdr:sp macro="" textlink="C̳álculos!D15">
      <xdr:nvSpPr>
        <xdr:cNvPr id="4" name="Retângulo: Cantos Arredondados 3">
          <a:extLst>
            <a:ext uri="{FF2B5EF4-FFF2-40B4-BE49-F238E27FC236}">
              <a16:creationId xmlns:a16="http://schemas.microsoft.com/office/drawing/2014/main" id="{3631B19E-A15D-1F4F-B966-A51FCBC000D8}"/>
            </a:ext>
          </a:extLst>
        </xdr:cNvPr>
        <xdr:cNvSpPr/>
      </xdr:nvSpPr>
      <xdr:spPr>
        <a:xfrm>
          <a:off x="2166936" y="3440908"/>
          <a:ext cx="1964532" cy="988217"/>
        </a:xfrm>
        <a:prstGeom prst="roundRect">
          <a:avLst/>
        </a:prstGeom>
        <a:solidFill>
          <a:srgbClr val="22C55E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25E5D122-4EEF-4F4E-A6EC-F21AF8A263A5}" type="TxLink">
            <a:rPr lang="en-US" sz="2400" b="1" i="0" u="none" strike="noStrike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R$ 505,00 </a:t>
          </a:fld>
          <a:endParaRPr lang="pt-BR" sz="2400" b="1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absolute">
    <xdr:from>
      <xdr:col>0</xdr:col>
      <xdr:colOff>47625</xdr:colOff>
      <xdr:row>7</xdr:row>
      <xdr:rowOff>166687</xdr:rowOff>
    </xdr:from>
    <xdr:to>
      <xdr:col>0</xdr:col>
      <xdr:colOff>1876425</xdr:colOff>
      <xdr:row>21</xdr:row>
      <xdr:rowOff>166687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Plan">
              <a:extLst>
                <a:ext uri="{FF2B5EF4-FFF2-40B4-BE49-F238E27FC236}">
                  <a16:creationId xmlns:a16="http://schemas.microsoft.com/office/drawing/2014/main" id="{3AE81371-BC64-4B5A-A4F6-9085C84957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1500187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0</xdr:colOff>
      <xdr:row>2</xdr:row>
      <xdr:rowOff>0</xdr:rowOff>
    </xdr:from>
    <xdr:to>
      <xdr:col>13</xdr:col>
      <xdr:colOff>595312</xdr:colOff>
      <xdr:row>17</xdr:row>
      <xdr:rowOff>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59FB97C5-8D04-4CEA-9FB7-C9D1E2675E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2</xdr:col>
      <xdr:colOff>83344</xdr:colOff>
      <xdr:row>20</xdr:row>
      <xdr:rowOff>83344</xdr:rowOff>
    </xdr:from>
    <xdr:to>
      <xdr:col>5</xdr:col>
      <xdr:colOff>35719</xdr:colOff>
      <xdr:row>23</xdr:row>
      <xdr:rowOff>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77525FFC-F911-888F-D763-411F8673B280}"/>
            </a:ext>
          </a:extLst>
        </xdr:cNvPr>
        <xdr:cNvSpPr txBox="1"/>
      </xdr:nvSpPr>
      <xdr:spPr>
        <a:xfrm>
          <a:off x="2262188" y="3893344"/>
          <a:ext cx="1774031" cy="488156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RECEITA GERAL</a:t>
          </a:r>
        </a:p>
      </xdr:txBody>
    </xdr:sp>
    <xdr:clientData/>
  </xdr:twoCellAnchor>
  <xdr:twoCellAnchor>
    <xdr:from>
      <xdr:col>6</xdr:col>
      <xdr:colOff>259554</xdr:colOff>
      <xdr:row>18</xdr:row>
      <xdr:rowOff>21433</xdr:rowOff>
    </xdr:from>
    <xdr:to>
      <xdr:col>9</xdr:col>
      <xdr:colOff>402430</xdr:colOff>
      <xdr:row>23</xdr:row>
      <xdr:rowOff>57150</xdr:rowOff>
    </xdr:to>
    <xdr:sp macro="" textlink="C̳álculos!B19">
      <xdr:nvSpPr>
        <xdr:cNvPr id="6" name="Retângulo: Cantos Arredondados 5">
          <a:extLst>
            <a:ext uri="{FF2B5EF4-FFF2-40B4-BE49-F238E27FC236}">
              <a16:creationId xmlns:a16="http://schemas.microsoft.com/office/drawing/2014/main" id="{01C8004D-DE3E-64D2-364A-9EF77EA78E05}"/>
            </a:ext>
          </a:extLst>
        </xdr:cNvPr>
        <xdr:cNvSpPr/>
      </xdr:nvSpPr>
      <xdr:spPr>
        <a:xfrm>
          <a:off x="4867273" y="3450433"/>
          <a:ext cx="1964532" cy="988217"/>
        </a:xfrm>
        <a:prstGeom prst="roundRect">
          <a:avLst/>
        </a:prstGeom>
        <a:solidFill>
          <a:srgbClr val="22C55E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7B3863BE-DB33-40F1-B70B-06729055CE93}" type="TxLink">
            <a:rPr lang="en-US" sz="2400" b="0" i="0" u="none" strike="noStrike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101</a:t>
          </a:fld>
          <a:endParaRPr lang="pt-BR" sz="2400" b="1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absolute">
    <xdr:from>
      <xdr:col>6</xdr:col>
      <xdr:colOff>366713</xdr:colOff>
      <xdr:row>20</xdr:row>
      <xdr:rowOff>92869</xdr:rowOff>
    </xdr:from>
    <xdr:to>
      <xdr:col>9</xdr:col>
      <xdr:colOff>319088</xdr:colOff>
      <xdr:row>23</xdr:row>
      <xdr:rowOff>9525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55CFCA62-7226-9ACE-9D5E-03B264963A76}"/>
            </a:ext>
          </a:extLst>
        </xdr:cNvPr>
        <xdr:cNvSpPr txBox="1"/>
      </xdr:nvSpPr>
      <xdr:spPr>
        <a:xfrm>
          <a:off x="4974432" y="3902869"/>
          <a:ext cx="1774031" cy="488156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ASSINANTES</a:t>
          </a:r>
          <a:r>
            <a:rPr lang="pt-BR" sz="1200" b="1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DA </a:t>
          </a:r>
          <a:br>
            <a:rPr lang="pt-BR" sz="1200" b="1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pt-BR" sz="1200" b="1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EA PLAY</a:t>
          </a:r>
          <a:endParaRPr lang="pt-BR" sz="1200" b="1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304798</xdr:colOff>
      <xdr:row>17</xdr:row>
      <xdr:rowOff>185739</xdr:rowOff>
    </xdr:from>
    <xdr:to>
      <xdr:col>14</xdr:col>
      <xdr:colOff>7143</xdr:colOff>
      <xdr:row>23</xdr:row>
      <xdr:rowOff>30956</xdr:rowOff>
    </xdr:to>
    <xdr:sp macro="" textlink="C̳álculos!B23">
      <xdr:nvSpPr>
        <xdr:cNvPr id="8" name="Retângulo: Cantos Arredondados 7">
          <a:extLst>
            <a:ext uri="{FF2B5EF4-FFF2-40B4-BE49-F238E27FC236}">
              <a16:creationId xmlns:a16="http://schemas.microsoft.com/office/drawing/2014/main" id="{73F0C3B5-95A9-E54D-142E-FE0DDBE875B5}"/>
            </a:ext>
          </a:extLst>
        </xdr:cNvPr>
        <xdr:cNvSpPr/>
      </xdr:nvSpPr>
      <xdr:spPr>
        <a:xfrm>
          <a:off x="7341392" y="3424239"/>
          <a:ext cx="1964532" cy="988217"/>
        </a:xfrm>
        <a:prstGeom prst="roundRect">
          <a:avLst/>
        </a:prstGeom>
        <a:solidFill>
          <a:srgbClr val="22C55E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5D028A72-D4AD-42C6-914F-33E640C24DAA}" type="TxLink">
            <a:rPr lang="en-US" sz="2400" b="0" i="0" u="none" strike="noStrike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101</a:t>
          </a:fld>
          <a:endParaRPr lang="pt-BR" sz="2400" b="1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absolute">
    <xdr:from>
      <xdr:col>10</xdr:col>
      <xdr:colOff>423863</xdr:colOff>
      <xdr:row>20</xdr:row>
      <xdr:rowOff>42863</xdr:rowOff>
    </xdr:from>
    <xdr:to>
      <xdr:col>13</xdr:col>
      <xdr:colOff>542925</xdr:colOff>
      <xdr:row>22</xdr:row>
      <xdr:rowOff>150019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2F90D514-48A9-0F4A-6AD1-A90AF6624A3A}"/>
            </a:ext>
          </a:extLst>
        </xdr:cNvPr>
        <xdr:cNvSpPr txBox="1"/>
      </xdr:nvSpPr>
      <xdr:spPr>
        <a:xfrm>
          <a:off x="7460457" y="3852863"/>
          <a:ext cx="1774031" cy="488156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ASSINANTES</a:t>
          </a:r>
          <a:r>
            <a:rPr lang="pt-BR" sz="1200" b="1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 DA </a:t>
          </a:r>
          <a:br>
            <a:rPr lang="pt-BR" sz="1200" b="1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pt-BR" sz="1200" b="1" baseline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MINECRAFT</a:t>
          </a:r>
          <a:endParaRPr lang="pt-BR" sz="1200" b="1">
            <a:solidFill>
              <a:schemeClr val="bg1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ago Ramos" refreshedDate="46309.607661458336" createdVersion="8" refreshedVersion="8" minRefreshableVersion="3" recordCount="295" xr:uid="{0168833F-5BE7-44EF-AFFB-F260BD8F31E2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67598715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x v="0"/>
    <x v="0"/>
    <x v="0"/>
    <x v="0"/>
    <x v="0"/>
    <x v="0"/>
    <x v="0"/>
    <n v="20"/>
    <n v="5"/>
    <n v="60"/>
  </r>
  <r>
    <n v="3232"/>
    <x v="1"/>
    <x v="1"/>
    <x v="1"/>
    <x v="1"/>
    <x v="1"/>
    <x v="1"/>
    <x v="1"/>
    <x v="1"/>
    <x v="1"/>
    <n v="0"/>
    <n v="0"/>
    <n v="5"/>
  </r>
  <r>
    <n v="3233"/>
    <x v="2"/>
    <x v="2"/>
    <x v="2"/>
    <x v="0"/>
    <x v="2"/>
    <x v="2"/>
    <x v="1"/>
    <x v="1"/>
    <x v="0"/>
    <n v="20"/>
    <n v="10"/>
    <n v="20"/>
  </r>
  <r>
    <n v="3234"/>
    <x v="3"/>
    <x v="0"/>
    <x v="3"/>
    <x v="1"/>
    <x v="0"/>
    <x v="0"/>
    <x v="0"/>
    <x v="0"/>
    <x v="0"/>
    <n v="20"/>
    <n v="3"/>
    <n v="62"/>
  </r>
  <r>
    <n v="3235"/>
    <x v="4"/>
    <x v="1"/>
    <x v="4"/>
    <x v="0"/>
    <x v="1"/>
    <x v="0"/>
    <x v="1"/>
    <x v="1"/>
    <x v="1"/>
    <n v="0"/>
    <n v="1"/>
    <n v="4"/>
  </r>
  <r>
    <n v="3236"/>
    <x v="5"/>
    <x v="2"/>
    <x v="5"/>
    <x v="1"/>
    <x v="2"/>
    <x v="0"/>
    <x v="1"/>
    <x v="1"/>
    <x v="0"/>
    <n v="20"/>
    <n v="2"/>
    <n v="28"/>
  </r>
  <r>
    <n v="3237"/>
    <x v="6"/>
    <x v="0"/>
    <x v="6"/>
    <x v="0"/>
    <x v="0"/>
    <x v="2"/>
    <x v="0"/>
    <x v="0"/>
    <x v="0"/>
    <n v="20"/>
    <n v="10"/>
    <n v="55"/>
  </r>
  <r>
    <n v="3238"/>
    <x v="7"/>
    <x v="1"/>
    <x v="7"/>
    <x v="0"/>
    <x v="1"/>
    <x v="1"/>
    <x v="1"/>
    <x v="1"/>
    <x v="1"/>
    <n v="0"/>
    <n v="0"/>
    <n v="5"/>
  </r>
  <r>
    <n v="3239"/>
    <x v="8"/>
    <x v="0"/>
    <x v="4"/>
    <x v="1"/>
    <x v="0"/>
    <x v="0"/>
    <x v="0"/>
    <x v="0"/>
    <x v="0"/>
    <n v="20"/>
    <n v="5"/>
    <n v="60"/>
  </r>
  <r>
    <n v="3240"/>
    <x v="9"/>
    <x v="2"/>
    <x v="8"/>
    <x v="0"/>
    <x v="2"/>
    <x v="2"/>
    <x v="1"/>
    <x v="1"/>
    <x v="0"/>
    <n v="20"/>
    <n v="15"/>
    <n v="15"/>
  </r>
  <r>
    <n v="3241"/>
    <x v="10"/>
    <x v="1"/>
    <x v="9"/>
    <x v="1"/>
    <x v="1"/>
    <x v="0"/>
    <x v="1"/>
    <x v="1"/>
    <x v="1"/>
    <n v="0"/>
    <n v="1"/>
    <n v="4"/>
  </r>
  <r>
    <n v="3242"/>
    <x v="11"/>
    <x v="0"/>
    <x v="10"/>
    <x v="0"/>
    <x v="0"/>
    <x v="1"/>
    <x v="0"/>
    <x v="0"/>
    <x v="0"/>
    <n v="20"/>
    <n v="20"/>
    <n v="45"/>
  </r>
  <r>
    <n v="3243"/>
    <x v="12"/>
    <x v="2"/>
    <x v="11"/>
    <x v="1"/>
    <x v="2"/>
    <x v="0"/>
    <x v="1"/>
    <x v="1"/>
    <x v="0"/>
    <n v="20"/>
    <n v="10"/>
    <n v="20"/>
  </r>
  <r>
    <n v="3244"/>
    <x v="13"/>
    <x v="1"/>
    <x v="12"/>
    <x v="0"/>
    <x v="1"/>
    <x v="2"/>
    <x v="1"/>
    <x v="1"/>
    <x v="1"/>
    <n v="0"/>
    <n v="0"/>
    <n v="5"/>
  </r>
  <r>
    <n v="3245"/>
    <x v="14"/>
    <x v="0"/>
    <x v="13"/>
    <x v="1"/>
    <x v="0"/>
    <x v="0"/>
    <x v="0"/>
    <x v="0"/>
    <x v="0"/>
    <n v="20"/>
    <n v="8"/>
    <n v="57"/>
  </r>
  <r>
    <n v="3246"/>
    <x v="15"/>
    <x v="2"/>
    <x v="14"/>
    <x v="0"/>
    <x v="2"/>
    <x v="1"/>
    <x v="1"/>
    <x v="1"/>
    <x v="0"/>
    <n v="20"/>
    <n v="12"/>
    <n v="18"/>
  </r>
  <r>
    <n v="3247"/>
    <x v="16"/>
    <x v="1"/>
    <x v="15"/>
    <x v="1"/>
    <x v="1"/>
    <x v="0"/>
    <x v="1"/>
    <x v="1"/>
    <x v="1"/>
    <n v="0"/>
    <n v="2"/>
    <n v="3"/>
  </r>
  <r>
    <n v="3248"/>
    <x v="17"/>
    <x v="0"/>
    <x v="16"/>
    <x v="0"/>
    <x v="0"/>
    <x v="2"/>
    <x v="0"/>
    <x v="0"/>
    <x v="0"/>
    <n v="20"/>
    <n v="7"/>
    <n v="58"/>
  </r>
  <r>
    <n v="3249"/>
    <x v="18"/>
    <x v="2"/>
    <x v="17"/>
    <x v="1"/>
    <x v="2"/>
    <x v="0"/>
    <x v="1"/>
    <x v="1"/>
    <x v="0"/>
    <n v="20"/>
    <n v="5"/>
    <n v="25"/>
  </r>
  <r>
    <n v="3250"/>
    <x v="19"/>
    <x v="1"/>
    <x v="18"/>
    <x v="0"/>
    <x v="1"/>
    <x v="1"/>
    <x v="1"/>
    <x v="1"/>
    <x v="1"/>
    <n v="0"/>
    <n v="0"/>
    <n v="5"/>
  </r>
  <r>
    <n v="3251"/>
    <x v="20"/>
    <x v="0"/>
    <x v="19"/>
    <x v="1"/>
    <x v="0"/>
    <x v="0"/>
    <x v="0"/>
    <x v="0"/>
    <x v="0"/>
    <n v="20"/>
    <n v="3"/>
    <n v="62"/>
  </r>
  <r>
    <n v="3252"/>
    <x v="21"/>
    <x v="2"/>
    <x v="20"/>
    <x v="0"/>
    <x v="2"/>
    <x v="2"/>
    <x v="1"/>
    <x v="1"/>
    <x v="0"/>
    <n v="20"/>
    <n v="15"/>
    <n v="15"/>
  </r>
  <r>
    <n v="3253"/>
    <x v="22"/>
    <x v="1"/>
    <x v="21"/>
    <x v="1"/>
    <x v="1"/>
    <x v="0"/>
    <x v="1"/>
    <x v="1"/>
    <x v="1"/>
    <n v="0"/>
    <n v="1"/>
    <n v="4"/>
  </r>
  <r>
    <n v="3254"/>
    <x v="23"/>
    <x v="0"/>
    <x v="22"/>
    <x v="0"/>
    <x v="0"/>
    <x v="1"/>
    <x v="0"/>
    <x v="0"/>
    <x v="0"/>
    <n v="20"/>
    <n v="20"/>
    <n v="45"/>
  </r>
  <r>
    <n v="3255"/>
    <x v="24"/>
    <x v="2"/>
    <x v="23"/>
    <x v="1"/>
    <x v="2"/>
    <x v="0"/>
    <x v="1"/>
    <x v="1"/>
    <x v="0"/>
    <n v="20"/>
    <n v="10"/>
    <n v="20"/>
  </r>
  <r>
    <n v="3256"/>
    <x v="25"/>
    <x v="1"/>
    <x v="24"/>
    <x v="0"/>
    <x v="1"/>
    <x v="2"/>
    <x v="1"/>
    <x v="1"/>
    <x v="1"/>
    <n v="0"/>
    <n v="0"/>
    <n v="5"/>
  </r>
  <r>
    <n v="3257"/>
    <x v="26"/>
    <x v="0"/>
    <x v="25"/>
    <x v="1"/>
    <x v="0"/>
    <x v="0"/>
    <x v="0"/>
    <x v="0"/>
    <x v="0"/>
    <n v="20"/>
    <n v="5"/>
    <n v="60"/>
  </r>
  <r>
    <n v="3258"/>
    <x v="27"/>
    <x v="2"/>
    <x v="26"/>
    <x v="0"/>
    <x v="2"/>
    <x v="1"/>
    <x v="1"/>
    <x v="1"/>
    <x v="0"/>
    <n v="20"/>
    <n v="15"/>
    <n v="15"/>
  </r>
  <r>
    <n v="3259"/>
    <x v="28"/>
    <x v="1"/>
    <x v="27"/>
    <x v="1"/>
    <x v="1"/>
    <x v="0"/>
    <x v="1"/>
    <x v="1"/>
    <x v="1"/>
    <n v="0"/>
    <n v="1"/>
    <n v="4"/>
  </r>
  <r>
    <n v="3260"/>
    <x v="29"/>
    <x v="0"/>
    <x v="28"/>
    <x v="0"/>
    <x v="0"/>
    <x v="2"/>
    <x v="0"/>
    <x v="0"/>
    <x v="0"/>
    <n v="20"/>
    <n v="7"/>
    <n v="58"/>
  </r>
  <r>
    <n v="3261"/>
    <x v="30"/>
    <x v="2"/>
    <x v="29"/>
    <x v="1"/>
    <x v="2"/>
    <x v="0"/>
    <x v="1"/>
    <x v="1"/>
    <x v="0"/>
    <n v="20"/>
    <n v="10"/>
    <n v="20"/>
  </r>
  <r>
    <n v="3262"/>
    <x v="31"/>
    <x v="1"/>
    <x v="30"/>
    <x v="0"/>
    <x v="1"/>
    <x v="1"/>
    <x v="1"/>
    <x v="1"/>
    <x v="1"/>
    <n v="0"/>
    <n v="0"/>
    <n v="5"/>
  </r>
  <r>
    <n v="3263"/>
    <x v="32"/>
    <x v="0"/>
    <x v="31"/>
    <x v="1"/>
    <x v="0"/>
    <x v="0"/>
    <x v="0"/>
    <x v="0"/>
    <x v="0"/>
    <n v="20"/>
    <n v="3"/>
    <n v="62"/>
  </r>
  <r>
    <n v="3264"/>
    <x v="33"/>
    <x v="2"/>
    <x v="32"/>
    <x v="0"/>
    <x v="2"/>
    <x v="2"/>
    <x v="1"/>
    <x v="1"/>
    <x v="0"/>
    <n v="20"/>
    <n v="15"/>
    <n v="15"/>
  </r>
  <r>
    <n v="3265"/>
    <x v="34"/>
    <x v="1"/>
    <x v="33"/>
    <x v="1"/>
    <x v="1"/>
    <x v="0"/>
    <x v="1"/>
    <x v="1"/>
    <x v="1"/>
    <n v="0"/>
    <n v="1"/>
    <n v="4"/>
  </r>
  <r>
    <n v="3266"/>
    <x v="35"/>
    <x v="1"/>
    <x v="34"/>
    <x v="0"/>
    <x v="1"/>
    <x v="0"/>
    <x v="1"/>
    <x v="1"/>
    <x v="1"/>
    <n v="0"/>
    <n v="0"/>
    <n v="5"/>
  </r>
  <r>
    <n v="3267"/>
    <x v="36"/>
    <x v="0"/>
    <x v="35"/>
    <x v="1"/>
    <x v="0"/>
    <x v="2"/>
    <x v="0"/>
    <x v="0"/>
    <x v="0"/>
    <n v="20"/>
    <n v="7"/>
    <n v="58"/>
  </r>
  <r>
    <n v="3268"/>
    <x v="37"/>
    <x v="2"/>
    <x v="36"/>
    <x v="0"/>
    <x v="2"/>
    <x v="1"/>
    <x v="1"/>
    <x v="1"/>
    <x v="0"/>
    <n v="20"/>
    <n v="10"/>
    <n v="20"/>
  </r>
  <r>
    <n v="3269"/>
    <x v="38"/>
    <x v="1"/>
    <x v="37"/>
    <x v="1"/>
    <x v="1"/>
    <x v="2"/>
    <x v="1"/>
    <x v="1"/>
    <x v="1"/>
    <n v="0"/>
    <n v="1"/>
    <n v="4"/>
  </r>
  <r>
    <n v="3270"/>
    <x v="39"/>
    <x v="0"/>
    <x v="38"/>
    <x v="0"/>
    <x v="0"/>
    <x v="0"/>
    <x v="0"/>
    <x v="0"/>
    <x v="0"/>
    <n v="20"/>
    <n v="15"/>
    <n v="50"/>
  </r>
  <r>
    <n v="3271"/>
    <x v="40"/>
    <x v="2"/>
    <x v="39"/>
    <x v="1"/>
    <x v="2"/>
    <x v="0"/>
    <x v="1"/>
    <x v="1"/>
    <x v="0"/>
    <n v="20"/>
    <n v="5"/>
    <n v="25"/>
  </r>
  <r>
    <n v="3272"/>
    <x v="41"/>
    <x v="1"/>
    <x v="40"/>
    <x v="0"/>
    <x v="1"/>
    <x v="1"/>
    <x v="1"/>
    <x v="1"/>
    <x v="1"/>
    <n v="0"/>
    <n v="0"/>
    <n v="5"/>
  </r>
  <r>
    <n v="3273"/>
    <x v="42"/>
    <x v="0"/>
    <x v="41"/>
    <x v="1"/>
    <x v="0"/>
    <x v="2"/>
    <x v="0"/>
    <x v="0"/>
    <x v="0"/>
    <n v="20"/>
    <n v="20"/>
    <n v="45"/>
  </r>
  <r>
    <n v="3274"/>
    <x v="43"/>
    <x v="2"/>
    <x v="42"/>
    <x v="0"/>
    <x v="2"/>
    <x v="2"/>
    <x v="1"/>
    <x v="1"/>
    <x v="0"/>
    <n v="20"/>
    <n v="12"/>
    <n v="18"/>
  </r>
  <r>
    <n v="3275"/>
    <x v="44"/>
    <x v="1"/>
    <x v="43"/>
    <x v="1"/>
    <x v="1"/>
    <x v="0"/>
    <x v="1"/>
    <x v="1"/>
    <x v="1"/>
    <n v="0"/>
    <n v="2"/>
    <n v="3"/>
  </r>
  <r>
    <n v="3276"/>
    <x v="45"/>
    <x v="0"/>
    <x v="44"/>
    <x v="0"/>
    <x v="0"/>
    <x v="1"/>
    <x v="0"/>
    <x v="0"/>
    <x v="0"/>
    <n v="20"/>
    <n v="5"/>
    <n v="60"/>
  </r>
  <r>
    <n v="3277"/>
    <x v="46"/>
    <x v="2"/>
    <x v="45"/>
    <x v="1"/>
    <x v="2"/>
    <x v="0"/>
    <x v="1"/>
    <x v="1"/>
    <x v="0"/>
    <n v="20"/>
    <n v="10"/>
    <n v="20"/>
  </r>
  <r>
    <n v="3278"/>
    <x v="47"/>
    <x v="1"/>
    <x v="46"/>
    <x v="0"/>
    <x v="1"/>
    <x v="2"/>
    <x v="1"/>
    <x v="1"/>
    <x v="1"/>
    <n v="0"/>
    <n v="0"/>
    <n v="5"/>
  </r>
  <r>
    <n v="3279"/>
    <x v="48"/>
    <x v="0"/>
    <x v="47"/>
    <x v="1"/>
    <x v="0"/>
    <x v="0"/>
    <x v="0"/>
    <x v="0"/>
    <x v="0"/>
    <n v="20"/>
    <n v="3"/>
    <n v="62"/>
  </r>
  <r>
    <n v="3280"/>
    <x v="49"/>
    <x v="2"/>
    <x v="48"/>
    <x v="0"/>
    <x v="2"/>
    <x v="1"/>
    <x v="1"/>
    <x v="1"/>
    <x v="0"/>
    <n v="20"/>
    <n v="15"/>
    <n v="15"/>
  </r>
  <r>
    <n v="3281"/>
    <x v="50"/>
    <x v="1"/>
    <x v="49"/>
    <x v="1"/>
    <x v="1"/>
    <x v="0"/>
    <x v="1"/>
    <x v="1"/>
    <x v="1"/>
    <n v="0"/>
    <n v="1"/>
    <n v="4"/>
  </r>
  <r>
    <n v="3282"/>
    <x v="51"/>
    <x v="0"/>
    <x v="50"/>
    <x v="0"/>
    <x v="0"/>
    <x v="2"/>
    <x v="0"/>
    <x v="0"/>
    <x v="0"/>
    <n v="20"/>
    <n v="7"/>
    <n v="58"/>
  </r>
  <r>
    <n v="3283"/>
    <x v="52"/>
    <x v="2"/>
    <x v="51"/>
    <x v="1"/>
    <x v="2"/>
    <x v="0"/>
    <x v="1"/>
    <x v="1"/>
    <x v="0"/>
    <n v="20"/>
    <n v="10"/>
    <n v="20"/>
  </r>
  <r>
    <n v="3284"/>
    <x v="53"/>
    <x v="1"/>
    <x v="52"/>
    <x v="0"/>
    <x v="1"/>
    <x v="1"/>
    <x v="1"/>
    <x v="1"/>
    <x v="1"/>
    <n v="0"/>
    <n v="0"/>
    <n v="5"/>
  </r>
  <r>
    <n v="3285"/>
    <x v="54"/>
    <x v="0"/>
    <x v="53"/>
    <x v="1"/>
    <x v="0"/>
    <x v="0"/>
    <x v="0"/>
    <x v="0"/>
    <x v="0"/>
    <n v="20"/>
    <n v="20"/>
    <n v="45"/>
  </r>
  <r>
    <n v="3286"/>
    <x v="55"/>
    <x v="2"/>
    <x v="54"/>
    <x v="0"/>
    <x v="2"/>
    <x v="2"/>
    <x v="1"/>
    <x v="1"/>
    <x v="0"/>
    <n v="20"/>
    <n v="15"/>
    <n v="15"/>
  </r>
  <r>
    <n v="3287"/>
    <x v="56"/>
    <x v="1"/>
    <x v="55"/>
    <x v="1"/>
    <x v="1"/>
    <x v="0"/>
    <x v="1"/>
    <x v="1"/>
    <x v="1"/>
    <n v="0"/>
    <n v="1"/>
    <n v="4"/>
  </r>
  <r>
    <n v="3288"/>
    <x v="57"/>
    <x v="0"/>
    <x v="56"/>
    <x v="0"/>
    <x v="0"/>
    <x v="1"/>
    <x v="0"/>
    <x v="0"/>
    <x v="0"/>
    <n v="20"/>
    <n v="3"/>
    <n v="62"/>
  </r>
  <r>
    <n v="3289"/>
    <x v="58"/>
    <x v="2"/>
    <x v="57"/>
    <x v="1"/>
    <x v="2"/>
    <x v="0"/>
    <x v="1"/>
    <x v="1"/>
    <x v="0"/>
    <n v="20"/>
    <n v="10"/>
    <n v="20"/>
  </r>
  <r>
    <n v="3290"/>
    <x v="59"/>
    <x v="1"/>
    <x v="58"/>
    <x v="0"/>
    <x v="1"/>
    <x v="2"/>
    <x v="1"/>
    <x v="1"/>
    <x v="1"/>
    <n v="0"/>
    <n v="0"/>
    <n v="5"/>
  </r>
  <r>
    <n v="3291"/>
    <x v="60"/>
    <x v="0"/>
    <x v="59"/>
    <x v="1"/>
    <x v="0"/>
    <x v="0"/>
    <x v="0"/>
    <x v="0"/>
    <x v="0"/>
    <n v="20"/>
    <n v="5"/>
    <n v="60"/>
  </r>
  <r>
    <n v="3292"/>
    <x v="61"/>
    <x v="2"/>
    <x v="60"/>
    <x v="0"/>
    <x v="2"/>
    <x v="1"/>
    <x v="1"/>
    <x v="1"/>
    <x v="0"/>
    <n v="20"/>
    <n v="15"/>
    <n v="15"/>
  </r>
  <r>
    <n v="3293"/>
    <x v="62"/>
    <x v="1"/>
    <x v="61"/>
    <x v="1"/>
    <x v="1"/>
    <x v="0"/>
    <x v="1"/>
    <x v="1"/>
    <x v="1"/>
    <n v="0"/>
    <n v="1"/>
    <n v="4"/>
  </r>
  <r>
    <n v="3294"/>
    <x v="63"/>
    <x v="0"/>
    <x v="62"/>
    <x v="0"/>
    <x v="0"/>
    <x v="2"/>
    <x v="0"/>
    <x v="0"/>
    <x v="0"/>
    <n v="20"/>
    <n v="20"/>
    <n v="45"/>
  </r>
  <r>
    <n v="3295"/>
    <x v="64"/>
    <x v="2"/>
    <x v="63"/>
    <x v="1"/>
    <x v="2"/>
    <x v="0"/>
    <x v="1"/>
    <x v="1"/>
    <x v="0"/>
    <n v="20"/>
    <n v="5"/>
    <n v="25"/>
  </r>
  <r>
    <n v="3296"/>
    <x v="65"/>
    <x v="1"/>
    <x v="64"/>
    <x v="1"/>
    <x v="1"/>
    <x v="0"/>
    <x v="1"/>
    <x v="1"/>
    <x v="1"/>
    <n v="0"/>
    <n v="0"/>
    <n v="5"/>
  </r>
  <r>
    <n v="3297"/>
    <x v="66"/>
    <x v="0"/>
    <x v="65"/>
    <x v="0"/>
    <x v="0"/>
    <x v="2"/>
    <x v="0"/>
    <x v="0"/>
    <x v="0"/>
    <n v="20"/>
    <n v="7"/>
    <n v="58"/>
  </r>
  <r>
    <n v="3298"/>
    <x v="67"/>
    <x v="2"/>
    <x v="66"/>
    <x v="1"/>
    <x v="2"/>
    <x v="1"/>
    <x v="1"/>
    <x v="1"/>
    <x v="0"/>
    <n v="20"/>
    <n v="10"/>
    <n v="20"/>
  </r>
  <r>
    <n v="3299"/>
    <x v="68"/>
    <x v="1"/>
    <x v="67"/>
    <x v="0"/>
    <x v="1"/>
    <x v="2"/>
    <x v="1"/>
    <x v="1"/>
    <x v="1"/>
    <n v="0"/>
    <n v="1"/>
    <n v="4"/>
  </r>
  <r>
    <n v="3300"/>
    <x v="69"/>
    <x v="0"/>
    <x v="68"/>
    <x v="1"/>
    <x v="0"/>
    <x v="0"/>
    <x v="0"/>
    <x v="0"/>
    <x v="0"/>
    <n v="20"/>
    <n v="15"/>
    <n v="50"/>
  </r>
  <r>
    <n v="3301"/>
    <x v="70"/>
    <x v="2"/>
    <x v="69"/>
    <x v="0"/>
    <x v="2"/>
    <x v="0"/>
    <x v="1"/>
    <x v="1"/>
    <x v="0"/>
    <n v="20"/>
    <n v="5"/>
    <n v="25"/>
  </r>
  <r>
    <n v="3302"/>
    <x v="71"/>
    <x v="1"/>
    <x v="70"/>
    <x v="1"/>
    <x v="1"/>
    <x v="1"/>
    <x v="1"/>
    <x v="1"/>
    <x v="1"/>
    <n v="0"/>
    <n v="0"/>
    <n v="5"/>
  </r>
  <r>
    <n v="3303"/>
    <x v="72"/>
    <x v="0"/>
    <x v="71"/>
    <x v="0"/>
    <x v="0"/>
    <x v="2"/>
    <x v="0"/>
    <x v="0"/>
    <x v="0"/>
    <n v="20"/>
    <n v="20"/>
    <n v="45"/>
  </r>
  <r>
    <n v="3304"/>
    <x v="73"/>
    <x v="2"/>
    <x v="72"/>
    <x v="1"/>
    <x v="2"/>
    <x v="2"/>
    <x v="1"/>
    <x v="1"/>
    <x v="0"/>
    <n v="20"/>
    <n v="12"/>
    <n v="18"/>
  </r>
  <r>
    <n v="3305"/>
    <x v="74"/>
    <x v="1"/>
    <x v="73"/>
    <x v="0"/>
    <x v="1"/>
    <x v="0"/>
    <x v="1"/>
    <x v="1"/>
    <x v="1"/>
    <n v="0"/>
    <n v="2"/>
    <n v="3"/>
  </r>
  <r>
    <n v="3306"/>
    <x v="75"/>
    <x v="0"/>
    <x v="74"/>
    <x v="1"/>
    <x v="0"/>
    <x v="1"/>
    <x v="0"/>
    <x v="0"/>
    <x v="0"/>
    <n v="20"/>
    <n v="5"/>
    <n v="60"/>
  </r>
  <r>
    <n v="3307"/>
    <x v="76"/>
    <x v="2"/>
    <x v="75"/>
    <x v="0"/>
    <x v="2"/>
    <x v="0"/>
    <x v="1"/>
    <x v="1"/>
    <x v="0"/>
    <n v="20"/>
    <n v="10"/>
    <n v="20"/>
  </r>
  <r>
    <n v="3308"/>
    <x v="77"/>
    <x v="1"/>
    <x v="76"/>
    <x v="1"/>
    <x v="1"/>
    <x v="2"/>
    <x v="1"/>
    <x v="1"/>
    <x v="1"/>
    <n v="0"/>
    <n v="0"/>
    <n v="5"/>
  </r>
  <r>
    <n v="3309"/>
    <x v="78"/>
    <x v="0"/>
    <x v="77"/>
    <x v="0"/>
    <x v="0"/>
    <x v="0"/>
    <x v="0"/>
    <x v="0"/>
    <x v="0"/>
    <n v="20"/>
    <n v="3"/>
    <n v="62"/>
  </r>
  <r>
    <n v="3310"/>
    <x v="79"/>
    <x v="2"/>
    <x v="78"/>
    <x v="1"/>
    <x v="2"/>
    <x v="1"/>
    <x v="1"/>
    <x v="1"/>
    <x v="0"/>
    <n v="20"/>
    <n v="15"/>
    <n v="15"/>
  </r>
  <r>
    <n v="3311"/>
    <x v="80"/>
    <x v="1"/>
    <x v="79"/>
    <x v="0"/>
    <x v="1"/>
    <x v="0"/>
    <x v="1"/>
    <x v="1"/>
    <x v="1"/>
    <n v="0"/>
    <n v="1"/>
    <n v="4"/>
  </r>
  <r>
    <n v="3312"/>
    <x v="81"/>
    <x v="0"/>
    <x v="80"/>
    <x v="1"/>
    <x v="0"/>
    <x v="2"/>
    <x v="0"/>
    <x v="0"/>
    <x v="0"/>
    <n v="20"/>
    <n v="7"/>
    <n v="58"/>
  </r>
  <r>
    <n v="3313"/>
    <x v="82"/>
    <x v="2"/>
    <x v="81"/>
    <x v="0"/>
    <x v="2"/>
    <x v="0"/>
    <x v="1"/>
    <x v="1"/>
    <x v="0"/>
    <n v="20"/>
    <n v="10"/>
    <n v="20"/>
  </r>
  <r>
    <n v="3314"/>
    <x v="83"/>
    <x v="1"/>
    <x v="82"/>
    <x v="1"/>
    <x v="1"/>
    <x v="1"/>
    <x v="1"/>
    <x v="1"/>
    <x v="1"/>
    <n v="0"/>
    <n v="0"/>
    <n v="5"/>
  </r>
  <r>
    <n v="3315"/>
    <x v="84"/>
    <x v="0"/>
    <x v="83"/>
    <x v="0"/>
    <x v="0"/>
    <x v="0"/>
    <x v="0"/>
    <x v="0"/>
    <x v="0"/>
    <n v="20"/>
    <n v="20"/>
    <n v="45"/>
  </r>
  <r>
    <n v="3316"/>
    <x v="85"/>
    <x v="2"/>
    <x v="84"/>
    <x v="1"/>
    <x v="2"/>
    <x v="2"/>
    <x v="1"/>
    <x v="1"/>
    <x v="0"/>
    <n v="20"/>
    <n v="15"/>
    <n v="15"/>
  </r>
  <r>
    <n v="3317"/>
    <x v="86"/>
    <x v="1"/>
    <x v="85"/>
    <x v="0"/>
    <x v="1"/>
    <x v="0"/>
    <x v="1"/>
    <x v="1"/>
    <x v="1"/>
    <n v="0"/>
    <n v="1"/>
    <n v="4"/>
  </r>
  <r>
    <n v="3318"/>
    <x v="87"/>
    <x v="0"/>
    <x v="86"/>
    <x v="1"/>
    <x v="0"/>
    <x v="1"/>
    <x v="0"/>
    <x v="0"/>
    <x v="0"/>
    <n v="20"/>
    <n v="3"/>
    <n v="62"/>
  </r>
  <r>
    <n v="3319"/>
    <x v="88"/>
    <x v="2"/>
    <x v="87"/>
    <x v="0"/>
    <x v="2"/>
    <x v="0"/>
    <x v="1"/>
    <x v="1"/>
    <x v="0"/>
    <n v="20"/>
    <n v="10"/>
    <n v="20"/>
  </r>
  <r>
    <n v="3320"/>
    <x v="89"/>
    <x v="1"/>
    <x v="88"/>
    <x v="1"/>
    <x v="1"/>
    <x v="2"/>
    <x v="1"/>
    <x v="1"/>
    <x v="1"/>
    <n v="0"/>
    <n v="0"/>
    <n v="5"/>
  </r>
  <r>
    <n v="3321"/>
    <x v="90"/>
    <x v="0"/>
    <x v="89"/>
    <x v="0"/>
    <x v="0"/>
    <x v="0"/>
    <x v="0"/>
    <x v="0"/>
    <x v="0"/>
    <n v="20"/>
    <n v="5"/>
    <n v="60"/>
  </r>
  <r>
    <n v="3322"/>
    <x v="91"/>
    <x v="2"/>
    <x v="90"/>
    <x v="1"/>
    <x v="2"/>
    <x v="1"/>
    <x v="1"/>
    <x v="1"/>
    <x v="0"/>
    <n v="20"/>
    <n v="15"/>
    <n v="15"/>
  </r>
  <r>
    <n v="3323"/>
    <x v="92"/>
    <x v="1"/>
    <x v="91"/>
    <x v="0"/>
    <x v="1"/>
    <x v="0"/>
    <x v="1"/>
    <x v="1"/>
    <x v="1"/>
    <n v="0"/>
    <n v="1"/>
    <n v="4"/>
  </r>
  <r>
    <n v="3324"/>
    <x v="93"/>
    <x v="0"/>
    <x v="92"/>
    <x v="1"/>
    <x v="0"/>
    <x v="2"/>
    <x v="0"/>
    <x v="0"/>
    <x v="0"/>
    <n v="20"/>
    <n v="20"/>
    <n v="45"/>
  </r>
  <r>
    <n v="3325"/>
    <x v="94"/>
    <x v="2"/>
    <x v="93"/>
    <x v="0"/>
    <x v="2"/>
    <x v="2"/>
    <x v="1"/>
    <x v="1"/>
    <x v="0"/>
    <n v="20"/>
    <n v="15"/>
    <n v="15"/>
  </r>
  <r>
    <n v="3326"/>
    <x v="95"/>
    <x v="1"/>
    <x v="94"/>
    <x v="1"/>
    <x v="1"/>
    <x v="1"/>
    <x v="1"/>
    <x v="1"/>
    <x v="1"/>
    <n v="0"/>
    <n v="0"/>
    <n v="5"/>
  </r>
  <r>
    <n v="3327"/>
    <x v="96"/>
    <x v="0"/>
    <x v="95"/>
    <x v="0"/>
    <x v="0"/>
    <x v="0"/>
    <x v="0"/>
    <x v="0"/>
    <x v="0"/>
    <n v="20"/>
    <n v="7"/>
    <n v="58"/>
  </r>
  <r>
    <n v="3328"/>
    <x v="97"/>
    <x v="2"/>
    <x v="96"/>
    <x v="1"/>
    <x v="2"/>
    <x v="1"/>
    <x v="1"/>
    <x v="1"/>
    <x v="0"/>
    <n v="20"/>
    <n v="10"/>
    <n v="20"/>
  </r>
  <r>
    <n v="3329"/>
    <x v="98"/>
    <x v="1"/>
    <x v="97"/>
    <x v="0"/>
    <x v="1"/>
    <x v="2"/>
    <x v="1"/>
    <x v="1"/>
    <x v="1"/>
    <n v="0"/>
    <n v="1"/>
    <n v="4"/>
  </r>
  <r>
    <n v="3330"/>
    <x v="99"/>
    <x v="0"/>
    <x v="98"/>
    <x v="1"/>
    <x v="0"/>
    <x v="0"/>
    <x v="0"/>
    <x v="0"/>
    <x v="0"/>
    <n v="20"/>
    <n v="15"/>
    <n v="50"/>
  </r>
  <r>
    <n v="3331"/>
    <x v="100"/>
    <x v="2"/>
    <x v="99"/>
    <x v="0"/>
    <x v="2"/>
    <x v="0"/>
    <x v="1"/>
    <x v="1"/>
    <x v="0"/>
    <n v="20"/>
    <n v="5"/>
    <n v="25"/>
  </r>
  <r>
    <n v="3332"/>
    <x v="101"/>
    <x v="1"/>
    <x v="100"/>
    <x v="1"/>
    <x v="1"/>
    <x v="1"/>
    <x v="1"/>
    <x v="1"/>
    <x v="1"/>
    <n v="0"/>
    <n v="0"/>
    <n v="5"/>
  </r>
  <r>
    <n v="3333"/>
    <x v="102"/>
    <x v="0"/>
    <x v="101"/>
    <x v="0"/>
    <x v="0"/>
    <x v="2"/>
    <x v="0"/>
    <x v="0"/>
    <x v="0"/>
    <n v="20"/>
    <n v="20"/>
    <n v="45"/>
  </r>
  <r>
    <n v="3334"/>
    <x v="103"/>
    <x v="2"/>
    <x v="102"/>
    <x v="1"/>
    <x v="2"/>
    <x v="2"/>
    <x v="1"/>
    <x v="1"/>
    <x v="0"/>
    <n v="20"/>
    <n v="12"/>
    <n v="18"/>
  </r>
  <r>
    <n v="3335"/>
    <x v="104"/>
    <x v="1"/>
    <x v="103"/>
    <x v="0"/>
    <x v="1"/>
    <x v="0"/>
    <x v="1"/>
    <x v="1"/>
    <x v="1"/>
    <n v="0"/>
    <n v="2"/>
    <n v="3"/>
  </r>
  <r>
    <n v="3336"/>
    <x v="105"/>
    <x v="1"/>
    <x v="104"/>
    <x v="0"/>
    <x v="1"/>
    <x v="0"/>
    <x v="1"/>
    <x v="1"/>
    <x v="1"/>
    <n v="0"/>
    <n v="0"/>
    <n v="5"/>
  </r>
  <r>
    <n v="3337"/>
    <x v="106"/>
    <x v="0"/>
    <x v="105"/>
    <x v="1"/>
    <x v="0"/>
    <x v="2"/>
    <x v="0"/>
    <x v="0"/>
    <x v="0"/>
    <n v="20"/>
    <n v="7"/>
    <n v="58"/>
  </r>
  <r>
    <n v="3338"/>
    <x v="107"/>
    <x v="2"/>
    <x v="106"/>
    <x v="0"/>
    <x v="2"/>
    <x v="1"/>
    <x v="1"/>
    <x v="1"/>
    <x v="0"/>
    <n v="20"/>
    <n v="10"/>
    <n v="20"/>
  </r>
  <r>
    <n v="3339"/>
    <x v="108"/>
    <x v="1"/>
    <x v="107"/>
    <x v="1"/>
    <x v="1"/>
    <x v="2"/>
    <x v="1"/>
    <x v="1"/>
    <x v="1"/>
    <n v="0"/>
    <n v="1"/>
    <n v="4"/>
  </r>
  <r>
    <n v="3340"/>
    <x v="109"/>
    <x v="0"/>
    <x v="108"/>
    <x v="0"/>
    <x v="0"/>
    <x v="0"/>
    <x v="0"/>
    <x v="0"/>
    <x v="0"/>
    <n v="20"/>
    <n v="15"/>
    <n v="50"/>
  </r>
  <r>
    <n v="3341"/>
    <x v="110"/>
    <x v="2"/>
    <x v="109"/>
    <x v="1"/>
    <x v="2"/>
    <x v="0"/>
    <x v="1"/>
    <x v="1"/>
    <x v="0"/>
    <n v="20"/>
    <n v="5"/>
    <n v="25"/>
  </r>
  <r>
    <n v="3342"/>
    <x v="111"/>
    <x v="1"/>
    <x v="110"/>
    <x v="0"/>
    <x v="1"/>
    <x v="1"/>
    <x v="1"/>
    <x v="1"/>
    <x v="1"/>
    <n v="0"/>
    <n v="0"/>
    <n v="5"/>
  </r>
  <r>
    <n v="3343"/>
    <x v="112"/>
    <x v="0"/>
    <x v="111"/>
    <x v="1"/>
    <x v="0"/>
    <x v="2"/>
    <x v="0"/>
    <x v="0"/>
    <x v="0"/>
    <n v="20"/>
    <n v="20"/>
    <n v="45"/>
  </r>
  <r>
    <n v="3344"/>
    <x v="113"/>
    <x v="2"/>
    <x v="112"/>
    <x v="0"/>
    <x v="2"/>
    <x v="2"/>
    <x v="1"/>
    <x v="1"/>
    <x v="0"/>
    <n v="20"/>
    <n v="12"/>
    <n v="18"/>
  </r>
  <r>
    <n v="3345"/>
    <x v="114"/>
    <x v="1"/>
    <x v="113"/>
    <x v="1"/>
    <x v="1"/>
    <x v="0"/>
    <x v="1"/>
    <x v="1"/>
    <x v="1"/>
    <n v="0"/>
    <n v="2"/>
    <n v="3"/>
  </r>
  <r>
    <n v="3346"/>
    <x v="115"/>
    <x v="0"/>
    <x v="114"/>
    <x v="0"/>
    <x v="0"/>
    <x v="1"/>
    <x v="0"/>
    <x v="0"/>
    <x v="0"/>
    <n v="20"/>
    <n v="5"/>
    <n v="60"/>
  </r>
  <r>
    <n v="3347"/>
    <x v="116"/>
    <x v="2"/>
    <x v="115"/>
    <x v="1"/>
    <x v="2"/>
    <x v="0"/>
    <x v="1"/>
    <x v="1"/>
    <x v="0"/>
    <n v="20"/>
    <n v="10"/>
    <n v="20"/>
  </r>
  <r>
    <n v="3348"/>
    <x v="117"/>
    <x v="1"/>
    <x v="116"/>
    <x v="0"/>
    <x v="1"/>
    <x v="2"/>
    <x v="1"/>
    <x v="1"/>
    <x v="1"/>
    <n v="0"/>
    <n v="0"/>
    <n v="5"/>
  </r>
  <r>
    <n v="3349"/>
    <x v="93"/>
    <x v="0"/>
    <x v="117"/>
    <x v="1"/>
    <x v="0"/>
    <x v="0"/>
    <x v="0"/>
    <x v="0"/>
    <x v="0"/>
    <n v="20"/>
    <n v="3"/>
    <n v="62"/>
  </r>
  <r>
    <n v="3350"/>
    <x v="118"/>
    <x v="2"/>
    <x v="118"/>
    <x v="0"/>
    <x v="2"/>
    <x v="1"/>
    <x v="1"/>
    <x v="1"/>
    <x v="0"/>
    <n v="20"/>
    <n v="15"/>
    <n v="15"/>
  </r>
  <r>
    <n v="3351"/>
    <x v="119"/>
    <x v="1"/>
    <x v="119"/>
    <x v="1"/>
    <x v="1"/>
    <x v="0"/>
    <x v="1"/>
    <x v="1"/>
    <x v="1"/>
    <n v="0"/>
    <n v="1"/>
    <n v="4"/>
  </r>
  <r>
    <n v="3352"/>
    <x v="120"/>
    <x v="0"/>
    <x v="120"/>
    <x v="0"/>
    <x v="0"/>
    <x v="2"/>
    <x v="0"/>
    <x v="0"/>
    <x v="0"/>
    <n v="20"/>
    <n v="7"/>
    <n v="58"/>
  </r>
  <r>
    <n v="3353"/>
    <x v="121"/>
    <x v="2"/>
    <x v="121"/>
    <x v="1"/>
    <x v="2"/>
    <x v="0"/>
    <x v="1"/>
    <x v="1"/>
    <x v="0"/>
    <n v="20"/>
    <n v="10"/>
    <n v="20"/>
  </r>
  <r>
    <n v="3354"/>
    <x v="122"/>
    <x v="1"/>
    <x v="122"/>
    <x v="0"/>
    <x v="1"/>
    <x v="1"/>
    <x v="1"/>
    <x v="1"/>
    <x v="1"/>
    <n v="0"/>
    <n v="0"/>
    <n v="5"/>
  </r>
  <r>
    <n v="3355"/>
    <x v="123"/>
    <x v="0"/>
    <x v="123"/>
    <x v="1"/>
    <x v="0"/>
    <x v="0"/>
    <x v="0"/>
    <x v="0"/>
    <x v="0"/>
    <n v="20"/>
    <n v="20"/>
    <n v="45"/>
  </r>
  <r>
    <n v="3356"/>
    <x v="124"/>
    <x v="2"/>
    <x v="124"/>
    <x v="0"/>
    <x v="2"/>
    <x v="2"/>
    <x v="1"/>
    <x v="1"/>
    <x v="0"/>
    <n v="20"/>
    <n v="15"/>
    <n v="15"/>
  </r>
  <r>
    <n v="3357"/>
    <x v="125"/>
    <x v="1"/>
    <x v="125"/>
    <x v="1"/>
    <x v="1"/>
    <x v="0"/>
    <x v="1"/>
    <x v="1"/>
    <x v="1"/>
    <n v="0"/>
    <n v="1"/>
    <n v="4"/>
  </r>
  <r>
    <n v="3358"/>
    <x v="126"/>
    <x v="0"/>
    <x v="126"/>
    <x v="0"/>
    <x v="0"/>
    <x v="1"/>
    <x v="0"/>
    <x v="0"/>
    <x v="0"/>
    <n v="20"/>
    <n v="3"/>
    <n v="62"/>
  </r>
  <r>
    <n v="3359"/>
    <x v="127"/>
    <x v="2"/>
    <x v="127"/>
    <x v="1"/>
    <x v="2"/>
    <x v="0"/>
    <x v="1"/>
    <x v="1"/>
    <x v="0"/>
    <n v="20"/>
    <n v="10"/>
    <n v="20"/>
  </r>
  <r>
    <n v="3360"/>
    <x v="128"/>
    <x v="1"/>
    <x v="128"/>
    <x v="0"/>
    <x v="1"/>
    <x v="2"/>
    <x v="1"/>
    <x v="1"/>
    <x v="1"/>
    <n v="0"/>
    <n v="0"/>
    <n v="5"/>
  </r>
  <r>
    <n v="3361"/>
    <x v="129"/>
    <x v="0"/>
    <x v="129"/>
    <x v="1"/>
    <x v="0"/>
    <x v="0"/>
    <x v="0"/>
    <x v="0"/>
    <x v="0"/>
    <n v="20"/>
    <n v="15"/>
    <n v="50"/>
  </r>
  <r>
    <n v="3362"/>
    <x v="130"/>
    <x v="2"/>
    <x v="130"/>
    <x v="0"/>
    <x v="2"/>
    <x v="1"/>
    <x v="1"/>
    <x v="1"/>
    <x v="0"/>
    <n v="20"/>
    <n v="15"/>
    <n v="15"/>
  </r>
  <r>
    <n v="3363"/>
    <x v="131"/>
    <x v="1"/>
    <x v="131"/>
    <x v="1"/>
    <x v="1"/>
    <x v="0"/>
    <x v="1"/>
    <x v="1"/>
    <x v="1"/>
    <n v="0"/>
    <n v="1"/>
    <n v="4"/>
  </r>
  <r>
    <n v="3364"/>
    <x v="132"/>
    <x v="0"/>
    <x v="132"/>
    <x v="0"/>
    <x v="0"/>
    <x v="2"/>
    <x v="0"/>
    <x v="0"/>
    <x v="0"/>
    <n v="20"/>
    <n v="7"/>
    <n v="58"/>
  </r>
  <r>
    <n v="3365"/>
    <x v="133"/>
    <x v="2"/>
    <x v="133"/>
    <x v="1"/>
    <x v="2"/>
    <x v="0"/>
    <x v="1"/>
    <x v="1"/>
    <x v="0"/>
    <n v="20"/>
    <n v="10"/>
    <n v="20"/>
  </r>
  <r>
    <n v="3366"/>
    <x v="134"/>
    <x v="1"/>
    <x v="134"/>
    <x v="0"/>
    <x v="1"/>
    <x v="0"/>
    <x v="1"/>
    <x v="1"/>
    <x v="1"/>
    <n v="0"/>
    <n v="0"/>
    <n v="5"/>
  </r>
  <r>
    <n v="3367"/>
    <x v="135"/>
    <x v="0"/>
    <x v="135"/>
    <x v="1"/>
    <x v="0"/>
    <x v="2"/>
    <x v="0"/>
    <x v="0"/>
    <x v="0"/>
    <n v="20"/>
    <n v="7"/>
    <n v="58"/>
  </r>
  <r>
    <n v="3368"/>
    <x v="136"/>
    <x v="2"/>
    <x v="136"/>
    <x v="0"/>
    <x v="2"/>
    <x v="1"/>
    <x v="1"/>
    <x v="1"/>
    <x v="0"/>
    <n v="20"/>
    <n v="10"/>
    <n v="20"/>
  </r>
  <r>
    <n v="3369"/>
    <x v="137"/>
    <x v="1"/>
    <x v="137"/>
    <x v="1"/>
    <x v="1"/>
    <x v="2"/>
    <x v="1"/>
    <x v="1"/>
    <x v="1"/>
    <n v="0"/>
    <n v="1"/>
    <n v="4"/>
  </r>
  <r>
    <n v="3370"/>
    <x v="138"/>
    <x v="0"/>
    <x v="138"/>
    <x v="0"/>
    <x v="0"/>
    <x v="0"/>
    <x v="0"/>
    <x v="0"/>
    <x v="0"/>
    <n v="20"/>
    <n v="15"/>
    <n v="50"/>
  </r>
  <r>
    <n v="3371"/>
    <x v="139"/>
    <x v="2"/>
    <x v="139"/>
    <x v="1"/>
    <x v="2"/>
    <x v="0"/>
    <x v="1"/>
    <x v="1"/>
    <x v="0"/>
    <n v="20"/>
    <n v="5"/>
    <n v="25"/>
  </r>
  <r>
    <n v="3372"/>
    <x v="140"/>
    <x v="1"/>
    <x v="140"/>
    <x v="0"/>
    <x v="1"/>
    <x v="1"/>
    <x v="1"/>
    <x v="1"/>
    <x v="1"/>
    <n v="0"/>
    <n v="0"/>
    <n v="5"/>
  </r>
  <r>
    <n v="3373"/>
    <x v="141"/>
    <x v="0"/>
    <x v="141"/>
    <x v="1"/>
    <x v="0"/>
    <x v="2"/>
    <x v="0"/>
    <x v="0"/>
    <x v="0"/>
    <n v="20"/>
    <n v="20"/>
    <n v="45"/>
  </r>
  <r>
    <n v="3374"/>
    <x v="142"/>
    <x v="2"/>
    <x v="142"/>
    <x v="0"/>
    <x v="2"/>
    <x v="2"/>
    <x v="1"/>
    <x v="1"/>
    <x v="0"/>
    <n v="20"/>
    <n v="12"/>
    <n v="18"/>
  </r>
  <r>
    <n v="3375"/>
    <x v="143"/>
    <x v="1"/>
    <x v="143"/>
    <x v="1"/>
    <x v="1"/>
    <x v="0"/>
    <x v="1"/>
    <x v="1"/>
    <x v="1"/>
    <n v="0"/>
    <n v="2"/>
    <n v="3"/>
  </r>
  <r>
    <n v="3376"/>
    <x v="144"/>
    <x v="0"/>
    <x v="144"/>
    <x v="0"/>
    <x v="0"/>
    <x v="1"/>
    <x v="0"/>
    <x v="0"/>
    <x v="0"/>
    <n v="20"/>
    <n v="5"/>
    <n v="60"/>
  </r>
  <r>
    <n v="3377"/>
    <x v="145"/>
    <x v="2"/>
    <x v="145"/>
    <x v="1"/>
    <x v="2"/>
    <x v="0"/>
    <x v="1"/>
    <x v="1"/>
    <x v="0"/>
    <n v="20"/>
    <n v="10"/>
    <n v="20"/>
  </r>
  <r>
    <n v="3378"/>
    <x v="146"/>
    <x v="1"/>
    <x v="146"/>
    <x v="0"/>
    <x v="1"/>
    <x v="2"/>
    <x v="1"/>
    <x v="1"/>
    <x v="1"/>
    <n v="0"/>
    <n v="0"/>
    <n v="5"/>
  </r>
  <r>
    <n v="3379"/>
    <x v="147"/>
    <x v="0"/>
    <x v="147"/>
    <x v="1"/>
    <x v="0"/>
    <x v="0"/>
    <x v="0"/>
    <x v="0"/>
    <x v="0"/>
    <n v="20"/>
    <n v="3"/>
    <n v="62"/>
  </r>
  <r>
    <n v="3380"/>
    <x v="148"/>
    <x v="2"/>
    <x v="148"/>
    <x v="0"/>
    <x v="2"/>
    <x v="1"/>
    <x v="1"/>
    <x v="1"/>
    <x v="0"/>
    <n v="20"/>
    <n v="15"/>
    <n v="15"/>
  </r>
  <r>
    <n v="3381"/>
    <x v="149"/>
    <x v="1"/>
    <x v="149"/>
    <x v="1"/>
    <x v="1"/>
    <x v="0"/>
    <x v="1"/>
    <x v="1"/>
    <x v="1"/>
    <n v="0"/>
    <n v="1"/>
    <n v="4"/>
  </r>
  <r>
    <n v="3382"/>
    <x v="150"/>
    <x v="0"/>
    <x v="150"/>
    <x v="0"/>
    <x v="0"/>
    <x v="2"/>
    <x v="0"/>
    <x v="0"/>
    <x v="0"/>
    <n v="20"/>
    <n v="7"/>
    <n v="58"/>
  </r>
  <r>
    <n v="3383"/>
    <x v="151"/>
    <x v="2"/>
    <x v="151"/>
    <x v="1"/>
    <x v="2"/>
    <x v="0"/>
    <x v="1"/>
    <x v="1"/>
    <x v="0"/>
    <n v="20"/>
    <n v="10"/>
    <n v="20"/>
  </r>
  <r>
    <n v="3384"/>
    <x v="152"/>
    <x v="1"/>
    <x v="152"/>
    <x v="0"/>
    <x v="1"/>
    <x v="1"/>
    <x v="1"/>
    <x v="1"/>
    <x v="1"/>
    <n v="0"/>
    <n v="0"/>
    <n v="5"/>
  </r>
  <r>
    <n v="3385"/>
    <x v="153"/>
    <x v="0"/>
    <x v="153"/>
    <x v="1"/>
    <x v="0"/>
    <x v="0"/>
    <x v="0"/>
    <x v="0"/>
    <x v="0"/>
    <n v="20"/>
    <n v="20"/>
    <n v="45"/>
  </r>
  <r>
    <n v="3386"/>
    <x v="154"/>
    <x v="2"/>
    <x v="154"/>
    <x v="0"/>
    <x v="2"/>
    <x v="2"/>
    <x v="1"/>
    <x v="1"/>
    <x v="0"/>
    <n v="20"/>
    <n v="15"/>
    <n v="15"/>
  </r>
  <r>
    <n v="3387"/>
    <x v="155"/>
    <x v="1"/>
    <x v="155"/>
    <x v="1"/>
    <x v="1"/>
    <x v="0"/>
    <x v="1"/>
    <x v="1"/>
    <x v="1"/>
    <n v="0"/>
    <n v="1"/>
    <n v="4"/>
  </r>
  <r>
    <n v="3388"/>
    <x v="156"/>
    <x v="0"/>
    <x v="156"/>
    <x v="0"/>
    <x v="0"/>
    <x v="1"/>
    <x v="0"/>
    <x v="0"/>
    <x v="0"/>
    <n v="20"/>
    <n v="3"/>
    <n v="62"/>
  </r>
  <r>
    <n v="3389"/>
    <x v="157"/>
    <x v="2"/>
    <x v="157"/>
    <x v="1"/>
    <x v="2"/>
    <x v="0"/>
    <x v="1"/>
    <x v="1"/>
    <x v="0"/>
    <n v="20"/>
    <n v="10"/>
    <n v="20"/>
  </r>
  <r>
    <n v="3390"/>
    <x v="158"/>
    <x v="1"/>
    <x v="158"/>
    <x v="0"/>
    <x v="1"/>
    <x v="2"/>
    <x v="1"/>
    <x v="1"/>
    <x v="1"/>
    <n v="0"/>
    <n v="0"/>
    <n v="5"/>
  </r>
  <r>
    <n v="3391"/>
    <x v="58"/>
    <x v="0"/>
    <x v="159"/>
    <x v="1"/>
    <x v="0"/>
    <x v="0"/>
    <x v="0"/>
    <x v="0"/>
    <x v="0"/>
    <n v="20"/>
    <n v="15"/>
    <n v="50"/>
  </r>
  <r>
    <n v="3392"/>
    <x v="159"/>
    <x v="2"/>
    <x v="160"/>
    <x v="0"/>
    <x v="2"/>
    <x v="1"/>
    <x v="1"/>
    <x v="1"/>
    <x v="0"/>
    <n v="20"/>
    <n v="15"/>
    <n v="15"/>
  </r>
  <r>
    <n v="3393"/>
    <x v="160"/>
    <x v="1"/>
    <x v="161"/>
    <x v="1"/>
    <x v="1"/>
    <x v="0"/>
    <x v="1"/>
    <x v="1"/>
    <x v="1"/>
    <n v="0"/>
    <n v="1"/>
    <n v="4"/>
  </r>
  <r>
    <n v="3394"/>
    <x v="161"/>
    <x v="0"/>
    <x v="162"/>
    <x v="0"/>
    <x v="0"/>
    <x v="2"/>
    <x v="0"/>
    <x v="0"/>
    <x v="0"/>
    <n v="20"/>
    <n v="7"/>
    <n v="58"/>
  </r>
  <r>
    <n v="3395"/>
    <x v="162"/>
    <x v="2"/>
    <x v="163"/>
    <x v="1"/>
    <x v="2"/>
    <x v="0"/>
    <x v="1"/>
    <x v="1"/>
    <x v="0"/>
    <n v="20"/>
    <n v="10"/>
    <n v="20"/>
  </r>
  <r>
    <n v="3396"/>
    <x v="163"/>
    <x v="1"/>
    <x v="164"/>
    <x v="0"/>
    <x v="1"/>
    <x v="1"/>
    <x v="1"/>
    <x v="1"/>
    <x v="1"/>
    <n v="0"/>
    <n v="0"/>
    <n v="5"/>
  </r>
  <r>
    <n v="3397"/>
    <x v="90"/>
    <x v="0"/>
    <x v="165"/>
    <x v="1"/>
    <x v="0"/>
    <x v="0"/>
    <x v="0"/>
    <x v="0"/>
    <x v="0"/>
    <n v="20"/>
    <n v="20"/>
    <n v="45"/>
  </r>
  <r>
    <n v="3398"/>
    <x v="164"/>
    <x v="2"/>
    <x v="166"/>
    <x v="0"/>
    <x v="2"/>
    <x v="2"/>
    <x v="1"/>
    <x v="1"/>
    <x v="0"/>
    <n v="20"/>
    <n v="15"/>
    <n v="15"/>
  </r>
  <r>
    <n v="3399"/>
    <x v="165"/>
    <x v="1"/>
    <x v="167"/>
    <x v="1"/>
    <x v="1"/>
    <x v="0"/>
    <x v="1"/>
    <x v="1"/>
    <x v="1"/>
    <n v="0"/>
    <n v="1"/>
    <n v="4"/>
  </r>
  <r>
    <n v="3400"/>
    <x v="166"/>
    <x v="0"/>
    <x v="168"/>
    <x v="0"/>
    <x v="0"/>
    <x v="1"/>
    <x v="0"/>
    <x v="0"/>
    <x v="0"/>
    <n v="20"/>
    <n v="5"/>
    <n v="60"/>
  </r>
  <r>
    <n v="3401"/>
    <x v="167"/>
    <x v="2"/>
    <x v="169"/>
    <x v="1"/>
    <x v="2"/>
    <x v="0"/>
    <x v="1"/>
    <x v="1"/>
    <x v="0"/>
    <n v="20"/>
    <n v="10"/>
    <n v="20"/>
  </r>
  <r>
    <n v="3402"/>
    <x v="168"/>
    <x v="1"/>
    <x v="170"/>
    <x v="0"/>
    <x v="1"/>
    <x v="2"/>
    <x v="1"/>
    <x v="1"/>
    <x v="1"/>
    <n v="0"/>
    <n v="0"/>
    <n v="5"/>
  </r>
  <r>
    <n v="3403"/>
    <x v="169"/>
    <x v="0"/>
    <x v="171"/>
    <x v="1"/>
    <x v="0"/>
    <x v="0"/>
    <x v="0"/>
    <x v="0"/>
    <x v="0"/>
    <n v="20"/>
    <n v="3"/>
    <n v="62"/>
  </r>
  <r>
    <n v="3404"/>
    <x v="170"/>
    <x v="2"/>
    <x v="172"/>
    <x v="0"/>
    <x v="2"/>
    <x v="1"/>
    <x v="1"/>
    <x v="1"/>
    <x v="0"/>
    <n v="20"/>
    <n v="15"/>
    <n v="15"/>
  </r>
  <r>
    <n v="3405"/>
    <x v="171"/>
    <x v="1"/>
    <x v="173"/>
    <x v="1"/>
    <x v="1"/>
    <x v="0"/>
    <x v="1"/>
    <x v="1"/>
    <x v="1"/>
    <n v="0"/>
    <n v="1"/>
    <n v="4"/>
  </r>
  <r>
    <n v="3406"/>
    <x v="172"/>
    <x v="1"/>
    <x v="174"/>
    <x v="0"/>
    <x v="1"/>
    <x v="0"/>
    <x v="1"/>
    <x v="1"/>
    <x v="1"/>
    <n v="0"/>
    <n v="0"/>
    <n v="5"/>
  </r>
  <r>
    <n v="3407"/>
    <x v="173"/>
    <x v="0"/>
    <x v="175"/>
    <x v="1"/>
    <x v="0"/>
    <x v="2"/>
    <x v="0"/>
    <x v="0"/>
    <x v="0"/>
    <n v="20"/>
    <n v="7"/>
    <n v="58"/>
  </r>
  <r>
    <n v="3408"/>
    <x v="174"/>
    <x v="2"/>
    <x v="176"/>
    <x v="0"/>
    <x v="2"/>
    <x v="1"/>
    <x v="1"/>
    <x v="1"/>
    <x v="0"/>
    <n v="20"/>
    <n v="10"/>
    <n v="20"/>
  </r>
  <r>
    <n v="3409"/>
    <x v="175"/>
    <x v="1"/>
    <x v="177"/>
    <x v="1"/>
    <x v="1"/>
    <x v="2"/>
    <x v="1"/>
    <x v="1"/>
    <x v="1"/>
    <n v="0"/>
    <n v="1"/>
    <n v="4"/>
  </r>
  <r>
    <n v="3410"/>
    <x v="176"/>
    <x v="0"/>
    <x v="178"/>
    <x v="0"/>
    <x v="0"/>
    <x v="0"/>
    <x v="0"/>
    <x v="0"/>
    <x v="0"/>
    <n v="20"/>
    <n v="15"/>
    <n v="50"/>
  </r>
  <r>
    <n v="3411"/>
    <x v="177"/>
    <x v="2"/>
    <x v="179"/>
    <x v="1"/>
    <x v="2"/>
    <x v="0"/>
    <x v="1"/>
    <x v="1"/>
    <x v="0"/>
    <n v="20"/>
    <n v="5"/>
    <n v="25"/>
  </r>
  <r>
    <n v="3412"/>
    <x v="178"/>
    <x v="1"/>
    <x v="180"/>
    <x v="0"/>
    <x v="1"/>
    <x v="1"/>
    <x v="1"/>
    <x v="1"/>
    <x v="1"/>
    <n v="0"/>
    <n v="0"/>
    <n v="5"/>
  </r>
  <r>
    <n v="3413"/>
    <x v="179"/>
    <x v="0"/>
    <x v="181"/>
    <x v="1"/>
    <x v="0"/>
    <x v="2"/>
    <x v="0"/>
    <x v="0"/>
    <x v="0"/>
    <n v="20"/>
    <n v="20"/>
    <n v="45"/>
  </r>
  <r>
    <n v="3414"/>
    <x v="180"/>
    <x v="2"/>
    <x v="182"/>
    <x v="0"/>
    <x v="2"/>
    <x v="2"/>
    <x v="1"/>
    <x v="1"/>
    <x v="0"/>
    <n v="20"/>
    <n v="12"/>
    <n v="18"/>
  </r>
  <r>
    <n v="3415"/>
    <x v="181"/>
    <x v="1"/>
    <x v="183"/>
    <x v="1"/>
    <x v="1"/>
    <x v="0"/>
    <x v="1"/>
    <x v="1"/>
    <x v="1"/>
    <n v="0"/>
    <n v="2"/>
    <n v="3"/>
  </r>
  <r>
    <n v="3416"/>
    <x v="182"/>
    <x v="0"/>
    <x v="184"/>
    <x v="0"/>
    <x v="0"/>
    <x v="1"/>
    <x v="0"/>
    <x v="0"/>
    <x v="0"/>
    <n v="20"/>
    <n v="5"/>
    <n v="60"/>
  </r>
  <r>
    <n v="3417"/>
    <x v="183"/>
    <x v="2"/>
    <x v="185"/>
    <x v="1"/>
    <x v="2"/>
    <x v="0"/>
    <x v="1"/>
    <x v="1"/>
    <x v="0"/>
    <n v="20"/>
    <n v="10"/>
    <n v="20"/>
  </r>
  <r>
    <n v="3418"/>
    <x v="184"/>
    <x v="1"/>
    <x v="186"/>
    <x v="0"/>
    <x v="1"/>
    <x v="2"/>
    <x v="1"/>
    <x v="1"/>
    <x v="1"/>
    <n v="0"/>
    <n v="0"/>
    <n v="5"/>
  </r>
  <r>
    <n v="3419"/>
    <x v="185"/>
    <x v="0"/>
    <x v="187"/>
    <x v="1"/>
    <x v="0"/>
    <x v="0"/>
    <x v="0"/>
    <x v="0"/>
    <x v="0"/>
    <n v="20"/>
    <n v="3"/>
    <n v="62"/>
  </r>
  <r>
    <n v="3420"/>
    <x v="186"/>
    <x v="2"/>
    <x v="188"/>
    <x v="0"/>
    <x v="2"/>
    <x v="1"/>
    <x v="1"/>
    <x v="1"/>
    <x v="0"/>
    <n v="20"/>
    <n v="15"/>
    <n v="15"/>
  </r>
  <r>
    <n v="3421"/>
    <x v="15"/>
    <x v="1"/>
    <x v="189"/>
    <x v="1"/>
    <x v="1"/>
    <x v="0"/>
    <x v="1"/>
    <x v="1"/>
    <x v="1"/>
    <n v="0"/>
    <n v="1"/>
    <n v="4"/>
  </r>
  <r>
    <n v="3422"/>
    <x v="187"/>
    <x v="0"/>
    <x v="190"/>
    <x v="0"/>
    <x v="0"/>
    <x v="2"/>
    <x v="0"/>
    <x v="0"/>
    <x v="0"/>
    <n v="20"/>
    <n v="7"/>
    <n v="58"/>
  </r>
  <r>
    <n v="3423"/>
    <x v="188"/>
    <x v="2"/>
    <x v="191"/>
    <x v="1"/>
    <x v="2"/>
    <x v="0"/>
    <x v="1"/>
    <x v="1"/>
    <x v="0"/>
    <n v="20"/>
    <n v="10"/>
    <n v="20"/>
  </r>
  <r>
    <n v="3424"/>
    <x v="14"/>
    <x v="1"/>
    <x v="192"/>
    <x v="0"/>
    <x v="1"/>
    <x v="1"/>
    <x v="1"/>
    <x v="1"/>
    <x v="1"/>
    <n v="0"/>
    <n v="0"/>
    <n v="5"/>
  </r>
  <r>
    <n v="3425"/>
    <x v="189"/>
    <x v="0"/>
    <x v="193"/>
    <x v="1"/>
    <x v="0"/>
    <x v="0"/>
    <x v="0"/>
    <x v="0"/>
    <x v="0"/>
    <n v="20"/>
    <n v="20"/>
    <n v="45"/>
  </r>
  <r>
    <n v="3426"/>
    <x v="167"/>
    <x v="2"/>
    <x v="194"/>
    <x v="0"/>
    <x v="2"/>
    <x v="2"/>
    <x v="1"/>
    <x v="1"/>
    <x v="0"/>
    <n v="20"/>
    <n v="15"/>
    <n v="15"/>
  </r>
  <r>
    <n v="3427"/>
    <x v="190"/>
    <x v="1"/>
    <x v="195"/>
    <x v="1"/>
    <x v="1"/>
    <x v="0"/>
    <x v="1"/>
    <x v="1"/>
    <x v="1"/>
    <n v="0"/>
    <n v="1"/>
    <n v="4"/>
  </r>
  <r>
    <n v="3428"/>
    <x v="191"/>
    <x v="0"/>
    <x v="196"/>
    <x v="0"/>
    <x v="0"/>
    <x v="1"/>
    <x v="0"/>
    <x v="0"/>
    <x v="0"/>
    <n v="20"/>
    <n v="3"/>
    <n v="62"/>
  </r>
  <r>
    <n v="3429"/>
    <x v="192"/>
    <x v="2"/>
    <x v="197"/>
    <x v="1"/>
    <x v="2"/>
    <x v="0"/>
    <x v="1"/>
    <x v="1"/>
    <x v="0"/>
    <n v="20"/>
    <n v="10"/>
    <n v="20"/>
  </r>
  <r>
    <n v="3430"/>
    <x v="193"/>
    <x v="1"/>
    <x v="198"/>
    <x v="0"/>
    <x v="1"/>
    <x v="2"/>
    <x v="1"/>
    <x v="1"/>
    <x v="1"/>
    <n v="0"/>
    <n v="0"/>
    <n v="5"/>
  </r>
  <r>
    <n v="3431"/>
    <x v="194"/>
    <x v="0"/>
    <x v="199"/>
    <x v="1"/>
    <x v="0"/>
    <x v="0"/>
    <x v="0"/>
    <x v="0"/>
    <x v="0"/>
    <n v="20"/>
    <n v="15"/>
    <n v="50"/>
  </r>
  <r>
    <n v="3432"/>
    <x v="195"/>
    <x v="2"/>
    <x v="200"/>
    <x v="0"/>
    <x v="2"/>
    <x v="1"/>
    <x v="1"/>
    <x v="1"/>
    <x v="0"/>
    <n v="20"/>
    <n v="15"/>
    <n v="15"/>
  </r>
  <r>
    <n v="3433"/>
    <x v="196"/>
    <x v="1"/>
    <x v="201"/>
    <x v="1"/>
    <x v="1"/>
    <x v="0"/>
    <x v="1"/>
    <x v="1"/>
    <x v="1"/>
    <n v="0"/>
    <n v="1"/>
    <n v="4"/>
  </r>
  <r>
    <n v="3434"/>
    <x v="197"/>
    <x v="0"/>
    <x v="202"/>
    <x v="0"/>
    <x v="0"/>
    <x v="2"/>
    <x v="0"/>
    <x v="0"/>
    <x v="0"/>
    <n v="20"/>
    <n v="7"/>
    <n v="58"/>
  </r>
  <r>
    <n v="3435"/>
    <x v="198"/>
    <x v="2"/>
    <x v="203"/>
    <x v="1"/>
    <x v="2"/>
    <x v="0"/>
    <x v="1"/>
    <x v="1"/>
    <x v="0"/>
    <n v="20"/>
    <n v="10"/>
    <n v="20"/>
  </r>
  <r>
    <n v="3436"/>
    <x v="199"/>
    <x v="1"/>
    <x v="204"/>
    <x v="0"/>
    <x v="1"/>
    <x v="0"/>
    <x v="1"/>
    <x v="1"/>
    <x v="1"/>
    <n v="0"/>
    <n v="0"/>
    <n v="5"/>
  </r>
  <r>
    <n v="3437"/>
    <x v="200"/>
    <x v="0"/>
    <x v="205"/>
    <x v="1"/>
    <x v="0"/>
    <x v="2"/>
    <x v="0"/>
    <x v="0"/>
    <x v="0"/>
    <n v="20"/>
    <n v="7"/>
    <n v="58"/>
  </r>
  <r>
    <n v="3438"/>
    <x v="201"/>
    <x v="2"/>
    <x v="206"/>
    <x v="0"/>
    <x v="2"/>
    <x v="1"/>
    <x v="1"/>
    <x v="1"/>
    <x v="0"/>
    <n v="20"/>
    <n v="10"/>
    <n v="20"/>
  </r>
  <r>
    <n v="3439"/>
    <x v="202"/>
    <x v="1"/>
    <x v="207"/>
    <x v="1"/>
    <x v="1"/>
    <x v="2"/>
    <x v="1"/>
    <x v="1"/>
    <x v="1"/>
    <n v="0"/>
    <n v="1"/>
    <n v="4"/>
  </r>
  <r>
    <n v="3440"/>
    <x v="203"/>
    <x v="0"/>
    <x v="208"/>
    <x v="0"/>
    <x v="0"/>
    <x v="0"/>
    <x v="0"/>
    <x v="0"/>
    <x v="0"/>
    <n v="20"/>
    <n v="15"/>
    <n v="50"/>
  </r>
  <r>
    <n v="3441"/>
    <x v="204"/>
    <x v="2"/>
    <x v="209"/>
    <x v="1"/>
    <x v="2"/>
    <x v="0"/>
    <x v="1"/>
    <x v="1"/>
    <x v="0"/>
    <n v="20"/>
    <n v="5"/>
    <n v="25"/>
  </r>
  <r>
    <n v="3442"/>
    <x v="205"/>
    <x v="1"/>
    <x v="210"/>
    <x v="0"/>
    <x v="1"/>
    <x v="1"/>
    <x v="1"/>
    <x v="1"/>
    <x v="1"/>
    <n v="0"/>
    <n v="0"/>
    <n v="5"/>
  </r>
  <r>
    <n v="3443"/>
    <x v="206"/>
    <x v="0"/>
    <x v="211"/>
    <x v="1"/>
    <x v="0"/>
    <x v="2"/>
    <x v="0"/>
    <x v="0"/>
    <x v="0"/>
    <n v="20"/>
    <n v="20"/>
    <n v="45"/>
  </r>
  <r>
    <n v="3444"/>
    <x v="207"/>
    <x v="2"/>
    <x v="212"/>
    <x v="0"/>
    <x v="2"/>
    <x v="2"/>
    <x v="1"/>
    <x v="1"/>
    <x v="0"/>
    <n v="20"/>
    <n v="12"/>
    <n v="18"/>
  </r>
  <r>
    <n v="3445"/>
    <x v="37"/>
    <x v="1"/>
    <x v="213"/>
    <x v="1"/>
    <x v="1"/>
    <x v="0"/>
    <x v="1"/>
    <x v="1"/>
    <x v="1"/>
    <n v="0"/>
    <n v="2"/>
    <n v="3"/>
  </r>
  <r>
    <n v="3446"/>
    <x v="208"/>
    <x v="0"/>
    <x v="214"/>
    <x v="0"/>
    <x v="0"/>
    <x v="1"/>
    <x v="0"/>
    <x v="0"/>
    <x v="0"/>
    <n v="20"/>
    <n v="5"/>
    <n v="60"/>
  </r>
  <r>
    <n v="3447"/>
    <x v="209"/>
    <x v="2"/>
    <x v="215"/>
    <x v="1"/>
    <x v="2"/>
    <x v="0"/>
    <x v="1"/>
    <x v="1"/>
    <x v="0"/>
    <n v="20"/>
    <n v="10"/>
    <n v="20"/>
  </r>
  <r>
    <n v="3448"/>
    <x v="210"/>
    <x v="1"/>
    <x v="216"/>
    <x v="0"/>
    <x v="1"/>
    <x v="2"/>
    <x v="1"/>
    <x v="1"/>
    <x v="1"/>
    <n v="0"/>
    <n v="0"/>
    <n v="5"/>
  </r>
  <r>
    <n v="3449"/>
    <x v="211"/>
    <x v="0"/>
    <x v="217"/>
    <x v="1"/>
    <x v="0"/>
    <x v="0"/>
    <x v="0"/>
    <x v="0"/>
    <x v="0"/>
    <n v="20"/>
    <n v="3"/>
    <n v="62"/>
  </r>
  <r>
    <n v="3450"/>
    <x v="212"/>
    <x v="2"/>
    <x v="218"/>
    <x v="0"/>
    <x v="2"/>
    <x v="1"/>
    <x v="1"/>
    <x v="1"/>
    <x v="0"/>
    <n v="20"/>
    <n v="15"/>
    <n v="15"/>
  </r>
  <r>
    <n v="3451"/>
    <x v="213"/>
    <x v="1"/>
    <x v="219"/>
    <x v="1"/>
    <x v="1"/>
    <x v="0"/>
    <x v="1"/>
    <x v="1"/>
    <x v="1"/>
    <n v="0"/>
    <n v="1"/>
    <n v="4"/>
  </r>
  <r>
    <n v="3452"/>
    <x v="191"/>
    <x v="0"/>
    <x v="220"/>
    <x v="0"/>
    <x v="0"/>
    <x v="2"/>
    <x v="0"/>
    <x v="0"/>
    <x v="0"/>
    <n v="20"/>
    <n v="7"/>
    <n v="58"/>
  </r>
  <r>
    <n v="3453"/>
    <x v="45"/>
    <x v="2"/>
    <x v="221"/>
    <x v="1"/>
    <x v="2"/>
    <x v="0"/>
    <x v="1"/>
    <x v="1"/>
    <x v="0"/>
    <n v="20"/>
    <n v="10"/>
    <n v="20"/>
  </r>
  <r>
    <n v="3454"/>
    <x v="214"/>
    <x v="1"/>
    <x v="222"/>
    <x v="0"/>
    <x v="1"/>
    <x v="1"/>
    <x v="1"/>
    <x v="1"/>
    <x v="1"/>
    <n v="0"/>
    <n v="0"/>
    <n v="5"/>
  </r>
  <r>
    <n v="3455"/>
    <x v="215"/>
    <x v="0"/>
    <x v="223"/>
    <x v="1"/>
    <x v="0"/>
    <x v="0"/>
    <x v="0"/>
    <x v="0"/>
    <x v="0"/>
    <n v="20"/>
    <n v="20"/>
    <n v="45"/>
  </r>
  <r>
    <n v="3456"/>
    <x v="216"/>
    <x v="2"/>
    <x v="224"/>
    <x v="0"/>
    <x v="2"/>
    <x v="2"/>
    <x v="1"/>
    <x v="1"/>
    <x v="0"/>
    <n v="20"/>
    <n v="15"/>
    <n v="15"/>
  </r>
  <r>
    <n v="3457"/>
    <x v="217"/>
    <x v="1"/>
    <x v="225"/>
    <x v="1"/>
    <x v="1"/>
    <x v="0"/>
    <x v="1"/>
    <x v="1"/>
    <x v="1"/>
    <n v="0"/>
    <n v="1"/>
    <n v="4"/>
  </r>
  <r>
    <n v="3458"/>
    <x v="218"/>
    <x v="0"/>
    <x v="226"/>
    <x v="0"/>
    <x v="0"/>
    <x v="1"/>
    <x v="0"/>
    <x v="0"/>
    <x v="0"/>
    <n v="20"/>
    <n v="3"/>
    <n v="62"/>
  </r>
  <r>
    <n v="3459"/>
    <x v="219"/>
    <x v="2"/>
    <x v="227"/>
    <x v="1"/>
    <x v="2"/>
    <x v="0"/>
    <x v="1"/>
    <x v="1"/>
    <x v="0"/>
    <n v="20"/>
    <n v="10"/>
    <n v="20"/>
  </r>
  <r>
    <n v="3460"/>
    <x v="127"/>
    <x v="1"/>
    <x v="228"/>
    <x v="0"/>
    <x v="1"/>
    <x v="2"/>
    <x v="1"/>
    <x v="1"/>
    <x v="1"/>
    <n v="0"/>
    <n v="0"/>
    <n v="5"/>
  </r>
  <r>
    <n v="3461"/>
    <x v="220"/>
    <x v="0"/>
    <x v="229"/>
    <x v="1"/>
    <x v="0"/>
    <x v="0"/>
    <x v="0"/>
    <x v="0"/>
    <x v="0"/>
    <n v="20"/>
    <n v="15"/>
    <n v="50"/>
  </r>
  <r>
    <n v="3462"/>
    <x v="221"/>
    <x v="2"/>
    <x v="230"/>
    <x v="0"/>
    <x v="2"/>
    <x v="1"/>
    <x v="1"/>
    <x v="1"/>
    <x v="0"/>
    <n v="20"/>
    <n v="15"/>
    <n v="15"/>
  </r>
  <r>
    <n v="3463"/>
    <x v="222"/>
    <x v="1"/>
    <x v="231"/>
    <x v="1"/>
    <x v="1"/>
    <x v="0"/>
    <x v="1"/>
    <x v="1"/>
    <x v="1"/>
    <n v="0"/>
    <n v="1"/>
    <n v="4"/>
  </r>
  <r>
    <n v="3464"/>
    <x v="223"/>
    <x v="0"/>
    <x v="232"/>
    <x v="0"/>
    <x v="0"/>
    <x v="2"/>
    <x v="0"/>
    <x v="0"/>
    <x v="0"/>
    <n v="20"/>
    <n v="7"/>
    <n v="58"/>
  </r>
  <r>
    <n v="3465"/>
    <x v="224"/>
    <x v="2"/>
    <x v="233"/>
    <x v="1"/>
    <x v="2"/>
    <x v="0"/>
    <x v="1"/>
    <x v="1"/>
    <x v="0"/>
    <n v="20"/>
    <n v="10"/>
    <n v="20"/>
  </r>
  <r>
    <n v="3466"/>
    <x v="225"/>
    <x v="1"/>
    <x v="234"/>
    <x v="0"/>
    <x v="1"/>
    <x v="1"/>
    <x v="1"/>
    <x v="1"/>
    <x v="1"/>
    <n v="0"/>
    <n v="0"/>
    <n v="5"/>
  </r>
  <r>
    <n v="3467"/>
    <x v="226"/>
    <x v="0"/>
    <x v="235"/>
    <x v="1"/>
    <x v="0"/>
    <x v="0"/>
    <x v="0"/>
    <x v="0"/>
    <x v="0"/>
    <n v="20"/>
    <n v="15"/>
    <n v="50"/>
  </r>
  <r>
    <n v="3468"/>
    <x v="227"/>
    <x v="2"/>
    <x v="236"/>
    <x v="0"/>
    <x v="2"/>
    <x v="2"/>
    <x v="1"/>
    <x v="1"/>
    <x v="0"/>
    <n v="20"/>
    <n v="12"/>
    <n v="18"/>
  </r>
  <r>
    <n v="3469"/>
    <x v="228"/>
    <x v="1"/>
    <x v="237"/>
    <x v="1"/>
    <x v="1"/>
    <x v="0"/>
    <x v="1"/>
    <x v="1"/>
    <x v="1"/>
    <n v="0"/>
    <n v="2"/>
    <n v="3"/>
  </r>
  <r>
    <n v="3470"/>
    <x v="229"/>
    <x v="0"/>
    <x v="238"/>
    <x v="0"/>
    <x v="0"/>
    <x v="1"/>
    <x v="0"/>
    <x v="0"/>
    <x v="0"/>
    <n v="20"/>
    <n v="5"/>
    <n v="60"/>
  </r>
  <r>
    <n v="3471"/>
    <x v="230"/>
    <x v="2"/>
    <x v="239"/>
    <x v="1"/>
    <x v="2"/>
    <x v="0"/>
    <x v="1"/>
    <x v="1"/>
    <x v="0"/>
    <n v="20"/>
    <n v="10"/>
    <n v="20"/>
  </r>
  <r>
    <n v="3472"/>
    <x v="231"/>
    <x v="1"/>
    <x v="240"/>
    <x v="0"/>
    <x v="1"/>
    <x v="2"/>
    <x v="1"/>
    <x v="1"/>
    <x v="1"/>
    <n v="0"/>
    <n v="0"/>
    <n v="5"/>
  </r>
  <r>
    <n v="3473"/>
    <x v="140"/>
    <x v="0"/>
    <x v="241"/>
    <x v="1"/>
    <x v="0"/>
    <x v="0"/>
    <x v="0"/>
    <x v="0"/>
    <x v="0"/>
    <n v="20"/>
    <n v="3"/>
    <n v="62"/>
  </r>
  <r>
    <n v="3474"/>
    <x v="232"/>
    <x v="2"/>
    <x v="242"/>
    <x v="0"/>
    <x v="2"/>
    <x v="1"/>
    <x v="1"/>
    <x v="1"/>
    <x v="0"/>
    <n v="20"/>
    <n v="15"/>
    <n v="15"/>
  </r>
  <r>
    <n v="3475"/>
    <x v="233"/>
    <x v="1"/>
    <x v="243"/>
    <x v="1"/>
    <x v="1"/>
    <x v="0"/>
    <x v="1"/>
    <x v="1"/>
    <x v="1"/>
    <n v="0"/>
    <n v="1"/>
    <n v="4"/>
  </r>
  <r>
    <n v="3476"/>
    <x v="234"/>
    <x v="0"/>
    <x v="244"/>
    <x v="0"/>
    <x v="0"/>
    <x v="2"/>
    <x v="0"/>
    <x v="0"/>
    <x v="0"/>
    <n v="20"/>
    <n v="7"/>
    <n v="58"/>
  </r>
  <r>
    <n v="3477"/>
    <x v="235"/>
    <x v="2"/>
    <x v="245"/>
    <x v="1"/>
    <x v="2"/>
    <x v="0"/>
    <x v="1"/>
    <x v="1"/>
    <x v="0"/>
    <n v="20"/>
    <n v="10"/>
    <n v="20"/>
  </r>
  <r>
    <n v="3478"/>
    <x v="236"/>
    <x v="1"/>
    <x v="246"/>
    <x v="0"/>
    <x v="1"/>
    <x v="1"/>
    <x v="1"/>
    <x v="1"/>
    <x v="1"/>
    <n v="0"/>
    <n v="0"/>
    <n v="5"/>
  </r>
  <r>
    <n v="3479"/>
    <x v="237"/>
    <x v="0"/>
    <x v="247"/>
    <x v="1"/>
    <x v="0"/>
    <x v="0"/>
    <x v="0"/>
    <x v="0"/>
    <x v="0"/>
    <n v="20"/>
    <n v="20"/>
    <n v="45"/>
  </r>
  <r>
    <n v="3480"/>
    <x v="238"/>
    <x v="2"/>
    <x v="248"/>
    <x v="0"/>
    <x v="2"/>
    <x v="2"/>
    <x v="1"/>
    <x v="1"/>
    <x v="0"/>
    <n v="20"/>
    <n v="15"/>
    <n v="15"/>
  </r>
  <r>
    <n v="3481"/>
    <x v="239"/>
    <x v="1"/>
    <x v="249"/>
    <x v="1"/>
    <x v="1"/>
    <x v="0"/>
    <x v="1"/>
    <x v="1"/>
    <x v="1"/>
    <n v="0"/>
    <n v="1"/>
    <n v="4"/>
  </r>
  <r>
    <n v="3482"/>
    <x v="240"/>
    <x v="0"/>
    <x v="250"/>
    <x v="0"/>
    <x v="0"/>
    <x v="1"/>
    <x v="0"/>
    <x v="0"/>
    <x v="0"/>
    <n v="20"/>
    <n v="3"/>
    <n v="62"/>
  </r>
  <r>
    <n v="3483"/>
    <x v="241"/>
    <x v="2"/>
    <x v="251"/>
    <x v="1"/>
    <x v="2"/>
    <x v="0"/>
    <x v="1"/>
    <x v="1"/>
    <x v="0"/>
    <n v="20"/>
    <n v="10"/>
    <n v="20"/>
  </r>
  <r>
    <n v="3484"/>
    <x v="242"/>
    <x v="1"/>
    <x v="252"/>
    <x v="0"/>
    <x v="1"/>
    <x v="2"/>
    <x v="1"/>
    <x v="1"/>
    <x v="1"/>
    <n v="0"/>
    <n v="0"/>
    <n v="5"/>
  </r>
  <r>
    <n v="3485"/>
    <x v="243"/>
    <x v="0"/>
    <x v="253"/>
    <x v="1"/>
    <x v="0"/>
    <x v="0"/>
    <x v="0"/>
    <x v="0"/>
    <x v="0"/>
    <n v="20"/>
    <n v="15"/>
    <n v="50"/>
  </r>
  <r>
    <n v="3486"/>
    <x v="244"/>
    <x v="1"/>
    <x v="254"/>
    <x v="0"/>
    <x v="1"/>
    <x v="0"/>
    <x v="1"/>
    <x v="1"/>
    <x v="1"/>
    <n v="0"/>
    <n v="0"/>
    <n v="5"/>
  </r>
  <r>
    <n v="3487"/>
    <x v="245"/>
    <x v="0"/>
    <x v="255"/>
    <x v="1"/>
    <x v="0"/>
    <x v="2"/>
    <x v="0"/>
    <x v="0"/>
    <x v="0"/>
    <n v="20"/>
    <n v="7"/>
    <n v="58"/>
  </r>
  <r>
    <n v="3488"/>
    <x v="246"/>
    <x v="2"/>
    <x v="256"/>
    <x v="0"/>
    <x v="2"/>
    <x v="1"/>
    <x v="1"/>
    <x v="1"/>
    <x v="0"/>
    <n v="20"/>
    <n v="10"/>
    <n v="20"/>
  </r>
  <r>
    <n v="3489"/>
    <x v="247"/>
    <x v="1"/>
    <x v="257"/>
    <x v="1"/>
    <x v="1"/>
    <x v="2"/>
    <x v="1"/>
    <x v="1"/>
    <x v="1"/>
    <n v="0"/>
    <n v="1"/>
    <n v="4"/>
  </r>
  <r>
    <n v="3490"/>
    <x v="248"/>
    <x v="0"/>
    <x v="258"/>
    <x v="0"/>
    <x v="0"/>
    <x v="0"/>
    <x v="0"/>
    <x v="0"/>
    <x v="0"/>
    <n v="20"/>
    <n v="15"/>
    <n v="50"/>
  </r>
  <r>
    <n v="3491"/>
    <x v="249"/>
    <x v="2"/>
    <x v="259"/>
    <x v="1"/>
    <x v="2"/>
    <x v="0"/>
    <x v="1"/>
    <x v="1"/>
    <x v="0"/>
    <n v="20"/>
    <n v="5"/>
    <n v="25"/>
  </r>
  <r>
    <n v="3492"/>
    <x v="250"/>
    <x v="1"/>
    <x v="260"/>
    <x v="0"/>
    <x v="1"/>
    <x v="1"/>
    <x v="1"/>
    <x v="1"/>
    <x v="1"/>
    <n v="0"/>
    <n v="0"/>
    <n v="5"/>
  </r>
  <r>
    <n v="3493"/>
    <x v="251"/>
    <x v="0"/>
    <x v="261"/>
    <x v="1"/>
    <x v="0"/>
    <x v="2"/>
    <x v="0"/>
    <x v="0"/>
    <x v="0"/>
    <n v="20"/>
    <n v="20"/>
    <n v="45"/>
  </r>
  <r>
    <n v="3494"/>
    <x v="252"/>
    <x v="2"/>
    <x v="262"/>
    <x v="0"/>
    <x v="2"/>
    <x v="2"/>
    <x v="1"/>
    <x v="1"/>
    <x v="0"/>
    <n v="20"/>
    <n v="12"/>
    <n v="18"/>
  </r>
  <r>
    <n v="3495"/>
    <x v="253"/>
    <x v="1"/>
    <x v="263"/>
    <x v="1"/>
    <x v="1"/>
    <x v="0"/>
    <x v="1"/>
    <x v="1"/>
    <x v="1"/>
    <n v="0"/>
    <n v="2"/>
    <n v="3"/>
  </r>
  <r>
    <n v="3496"/>
    <x v="254"/>
    <x v="0"/>
    <x v="264"/>
    <x v="0"/>
    <x v="0"/>
    <x v="1"/>
    <x v="0"/>
    <x v="0"/>
    <x v="0"/>
    <n v="20"/>
    <n v="5"/>
    <n v="60"/>
  </r>
  <r>
    <n v="3497"/>
    <x v="255"/>
    <x v="2"/>
    <x v="265"/>
    <x v="1"/>
    <x v="2"/>
    <x v="0"/>
    <x v="1"/>
    <x v="1"/>
    <x v="0"/>
    <n v="20"/>
    <n v="10"/>
    <n v="20"/>
  </r>
  <r>
    <n v="3498"/>
    <x v="256"/>
    <x v="1"/>
    <x v="266"/>
    <x v="0"/>
    <x v="1"/>
    <x v="2"/>
    <x v="1"/>
    <x v="1"/>
    <x v="1"/>
    <n v="0"/>
    <n v="0"/>
    <n v="5"/>
  </r>
  <r>
    <n v="3499"/>
    <x v="257"/>
    <x v="0"/>
    <x v="267"/>
    <x v="1"/>
    <x v="0"/>
    <x v="0"/>
    <x v="0"/>
    <x v="0"/>
    <x v="0"/>
    <n v="20"/>
    <n v="3"/>
    <n v="62"/>
  </r>
  <r>
    <n v="3500"/>
    <x v="258"/>
    <x v="2"/>
    <x v="268"/>
    <x v="0"/>
    <x v="2"/>
    <x v="1"/>
    <x v="1"/>
    <x v="1"/>
    <x v="0"/>
    <n v="20"/>
    <n v="15"/>
    <n v="15"/>
  </r>
  <r>
    <n v="3501"/>
    <x v="259"/>
    <x v="1"/>
    <x v="269"/>
    <x v="1"/>
    <x v="1"/>
    <x v="0"/>
    <x v="1"/>
    <x v="1"/>
    <x v="1"/>
    <n v="0"/>
    <n v="1"/>
    <n v="4"/>
  </r>
  <r>
    <n v="3502"/>
    <x v="260"/>
    <x v="0"/>
    <x v="270"/>
    <x v="0"/>
    <x v="0"/>
    <x v="2"/>
    <x v="0"/>
    <x v="0"/>
    <x v="0"/>
    <n v="20"/>
    <n v="7"/>
    <n v="58"/>
  </r>
  <r>
    <n v="3503"/>
    <x v="119"/>
    <x v="2"/>
    <x v="271"/>
    <x v="1"/>
    <x v="2"/>
    <x v="0"/>
    <x v="1"/>
    <x v="1"/>
    <x v="0"/>
    <n v="20"/>
    <n v="10"/>
    <n v="20"/>
  </r>
  <r>
    <n v="3504"/>
    <x v="261"/>
    <x v="1"/>
    <x v="272"/>
    <x v="0"/>
    <x v="1"/>
    <x v="1"/>
    <x v="1"/>
    <x v="1"/>
    <x v="1"/>
    <n v="0"/>
    <n v="0"/>
    <n v="5"/>
  </r>
  <r>
    <n v="3505"/>
    <x v="262"/>
    <x v="0"/>
    <x v="273"/>
    <x v="1"/>
    <x v="0"/>
    <x v="0"/>
    <x v="0"/>
    <x v="0"/>
    <x v="0"/>
    <n v="20"/>
    <n v="20"/>
    <n v="45"/>
  </r>
  <r>
    <n v="3506"/>
    <x v="263"/>
    <x v="2"/>
    <x v="274"/>
    <x v="0"/>
    <x v="2"/>
    <x v="2"/>
    <x v="1"/>
    <x v="1"/>
    <x v="0"/>
    <n v="20"/>
    <n v="15"/>
    <n v="15"/>
  </r>
  <r>
    <n v="3507"/>
    <x v="264"/>
    <x v="1"/>
    <x v="275"/>
    <x v="1"/>
    <x v="1"/>
    <x v="0"/>
    <x v="1"/>
    <x v="1"/>
    <x v="1"/>
    <n v="0"/>
    <n v="1"/>
    <n v="4"/>
  </r>
  <r>
    <n v="3508"/>
    <x v="265"/>
    <x v="0"/>
    <x v="276"/>
    <x v="0"/>
    <x v="0"/>
    <x v="1"/>
    <x v="0"/>
    <x v="0"/>
    <x v="0"/>
    <n v="20"/>
    <n v="3"/>
    <n v="62"/>
  </r>
  <r>
    <n v="3509"/>
    <x v="266"/>
    <x v="2"/>
    <x v="277"/>
    <x v="1"/>
    <x v="2"/>
    <x v="0"/>
    <x v="1"/>
    <x v="1"/>
    <x v="0"/>
    <n v="20"/>
    <n v="10"/>
    <n v="20"/>
  </r>
  <r>
    <n v="3510"/>
    <x v="267"/>
    <x v="1"/>
    <x v="278"/>
    <x v="0"/>
    <x v="1"/>
    <x v="2"/>
    <x v="1"/>
    <x v="1"/>
    <x v="1"/>
    <n v="0"/>
    <n v="0"/>
    <n v="5"/>
  </r>
  <r>
    <n v="3511"/>
    <x v="268"/>
    <x v="0"/>
    <x v="279"/>
    <x v="1"/>
    <x v="0"/>
    <x v="0"/>
    <x v="0"/>
    <x v="0"/>
    <x v="0"/>
    <n v="20"/>
    <n v="15"/>
    <n v="50"/>
  </r>
  <r>
    <n v="3512"/>
    <x v="269"/>
    <x v="2"/>
    <x v="280"/>
    <x v="0"/>
    <x v="2"/>
    <x v="1"/>
    <x v="1"/>
    <x v="1"/>
    <x v="0"/>
    <n v="20"/>
    <n v="15"/>
    <n v="15"/>
  </r>
  <r>
    <n v="3513"/>
    <x v="270"/>
    <x v="1"/>
    <x v="281"/>
    <x v="1"/>
    <x v="1"/>
    <x v="0"/>
    <x v="1"/>
    <x v="1"/>
    <x v="1"/>
    <n v="0"/>
    <n v="1"/>
    <n v="4"/>
  </r>
  <r>
    <n v="3514"/>
    <x v="271"/>
    <x v="0"/>
    <x v="282"/>
    <x v="0"/>
    <x v="0"/>
    <x v="2"/>
    <x v="0"/>
    <x v="0"/>
    <x v="0"/>
    <n v="20"/>
    <n v="7"/>
    <n v="58"/>
  </r>
  <r>
    <n v="3515"/>
    <x v="130"/>
    <x v="2"/>
    <x v="283"/>
    <x v="1"/>
    <x v="2"/>
    <x v="0"/>
    <x v="1"/>
    <x v="1"/>
    <x v="0"/>
    <n v="20"/>
    <n v="10"/>
    <n v="20"/>
  </r>
  <r>
    <n v="3516"/>
    <x v="131"/>
    <x v="1"/>
    <x v="284"/>
    <x v="0"/>
    <x v="1"/>
    <x v="1"/>
    <x v="1"/>
    <x v="1"/>
    <x v="1"/>
    <n v="0"/>
    <n v="0"/>
    <n v="5"/>
  </r>
  <r>
    <n v="3517"/>
    <x v="181"/>
    <x v="0"/>
    <x v="285"/>
    <x v="1"/>
    <x v="0"/>
    <x v="0"/>
    <x v="0"/>
    <x v="0"/>
    <x v="0"/>
    <n v="20"/>
    <n v="20"/>
    <n v="45"/>
  </r>
  <r>
    <n v="3518"/>
    <x v="272"/>
    <x v="2"/>
    <x v="286"/>
    <x v="0"/>
    <x v="2"/>
    <x v="2"/>
    <x v="1"/>
    <x v="1"/>
    <x v="0"/>
    <n v="20"/>
    <n v="12"/>
    <n v="18"/>
  </r>
  <r>
    <n v="3519"/>
    <x v="273"/>
    <x v="1"/>
    <x v="287"/>
    <x v="1"/>
    <x v="1"/>
    <x v="0"/>
    <x v="1"/>
    <x v="1"/>
    <x v="1"/>
    <n v="0"/>
    <n v="2"/>
    <n v="3"/>
  </r>
  <r>
    <n v="3520"/>
    <x v="274"/>
    <x v="0"/>
    <x v="288"/>
    <x v="0"/>
    <x v="0"/>
    <x v="1"/>
    <x v="0"/>
    <x v="0"/>
    <x v="0"/>
    <n v="20"/>
    <n v="5"/>
    <n v="60"/>
  </r>
  <r>
    <n v="3521"/>
    <x v="275"/>
    <x v="2"/>
    <x v="289"/>
    <x v="1"/>
    <x v="2"/>
    <x v="0"/>
    <x v="1"/>
    <x v="1"/>
    <x v="0"/>
    <n v="20"/>
    <n v="10"/>
    <n v="20"/>
  </r>
  <r>
    <n v="3522"/>
    <x v="276"/>
    <x v="1"/>
    <x v="290"/>
    <x v="0"/>
    <x v="1"/>
    <x v="2"/>
    <x v="1"/>
    <x v="1"/>
    <x v="1"/>
    <n v="0"/>
    <n v="0"/>
    <n v="5"/>
  </r>
  <r>
    <n v="3523"/>
    <x v="277"/>
    <x v="0"/>
    <x v="291"/>
    <x v="1"/>
    <x v="0"/>
    <x v="0"/>
    <x v="0"/>
    <x v="0"/>
    <x v="0"/>
    <n v="20"/>
    <n v="3"/>
    <n v="62"/>
  </r>
  <r>
    <n v="3524"/>
    <x v="278"/>
    <x v="2"/>
    <x v="292"/>
    <x v="0"/>
    <x v="2"/>
    <x v="1"/>
    <x v="1"/>
    <x v="1"/>
    <x v="0"/>
    <n v="20"/>
    <n v="15"/>
    <n v="15"/>
  </r>
  <r>
    <n v="3525"/>
    <x v="279"/>
    <x v="1"/>
    <x v="293"/>
    <x v="1"/>
    <x v="1"/>
    <x v="0"/>
    <x v="1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A10785-A69F-4D33-B785-EA8C2CE87114}" name="Tabela dinâ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B22:B23" firstHeaderRow="1" firstDataRow="1" firstDataCol="0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h="1" x="2"/>
        <item h="1"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dataField="1" showAll="0">
      <items count="3">
        <item x="1"/>
        <item x="0"/>
        <item t="default"/>
      </items>
    </pivotField>
    <pivotField numFmtId="44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Items count="1">
    <i/>
  </colItems>
  <dataFields count="1">
    <dataField name="Contagem de Minecraft Season Pass" fld="9" subtotal="count" baseField="0" baseItem="0"/>
  </dataFields>
  <pivotTableStyleInfo name="PivotStyleLight16" showRowHeaders="0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7E8FD7-6D05-450F-A305-D1376F52210A}" name="Tabela dinâ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B18:B19" firstHeaderRow="1" firstDataRow="1" firstDataCol="0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h="1" x="2"/>
        <item h="1"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dataField="1"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Items count="1">
    <i/>
  </colItems>
  <dataFields count="1">
    <dataField name="Contagem de EA Play Season Pass" fld="7" subtotal="count" baseField="0" baseItem="0"/>
  </dataFields>
  <pivotTableStyleInfo name="PivotStyleLight16" showRowHeaders="0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2538B3-7AA6-4719-82E7-B64F339A7A15}" name="Tabela dinâ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B11:C13" firstHeaderRow="1" firstDataRow="1" firstDataCol="1"/>
  <pivotFields count="15">
    <pivotField showAll="0"/>
    <pivotField showAll="0"/>
    <pivotField axis="axisRow" showAll="0">
      <items count="4">
        <item x="1"/>
        <item h="1" x="2"/>
        <item h="1"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dataField="1" numFmtId="44" showAll="0">
      <items count="4">
        <item x="1"/>
        <item x="2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2">
    <i>
      <x/>
    </i>
    <i t="grand">
      <x/>
    </i>
  </rowItems>
  <colItems count="1">
    <i/>
  </colItems>
  <dataFields count="1">
    <dataField name="Soma de Subscription Price" fld="5" baseField="2" baseItem="0"/>
  </dataFields>
  <chartFormats count="4">
    <chartFormat chart="7" format="6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7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0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6DFC0D-C8CC-4A8E-9D41-0F8176EAA1C9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B4:C6" firstHeaderRow="1" firstDataRow="1" firstDataCol="1"/>
  <pivotFields count="15">
    <pivotField showAll="0"/>
    <pivotField showAll="0"/>
    <pivotField axis="axisRow" showAll="0">
      <items count="4">
        <item x="1"/>
        <item h="1" x="2"/>
        <item h="1"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dataField="1" numFmtId="44" showAll="0">
      <items count="4">
        <item x="1"/>
        <item x="2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2">
    <i>
      <x/>
    </i>
    <i t="grand">
      <x/>
    </i>
  </rowItems>
  <colItems count="1">
    <i/>
  </colItems>
  <dataFields count="1">
    <dataField name="Contagem de Subscription Price" fld="5" subtotal="count" baseField="2" baseItem="0"/>
  </dataFields>
  <chartFormats count="4">
    <chartFormat chart="7" format="6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7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0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FC937032-D993-46D1-BF49-7BA4945E1A37}" sourceName="Plan">
  <pivotTables>
    <pivotTable tabId="3" name="Tabela dinâmica1"/>
    <pivotTable tabId="3" name="Tabela dinâmica3"/>
    <pivotTable tabId="3" name="Tabela dinâmica4"/>
    <pivotTable tabId="3" name="Tabela dinâmica5"/>
  </pivotTables>
  <data>
    <tabular pivotCacheId="1675987154">
      <items count="3">
        <i x="1" s="1"/>
        <i x="2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" xr10:uid="{3D488CDB-733A-4C98-BFE7-D3497412E9CC}" cache="SegmentaçãodeDados_Plan" caption="Plan" style="SlicerStyleLight3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7" totalsRowCount="1" dataDxfId="27">
  <autoFilter ref="A1:M296" xr:uid="{34E0E886-4200-4B36-97B3-63DB74FF40A0}">
    <filterColumn colId="9">
      <filters>
        <filter val="Yes"/>
      </filters>
    </filterColumn>
  </autoFilter>
  <tableColumns count="13">
    <tableColumn id="1" xr3:uid="{C4A90516-688A-46BF-9167-EA16C2A8A652}" name="Subscriber ID" dataDxfId="26" totalsRowDxfId="25"/>
    <tableColumn id="2" xr3:uid="{53DD39D0-2220-4121-9E9D-4EAA7E151C0F}" name="Name" dataDxfId="24" totalsRowDxfId="23"/>
    <tableColumn id="3" xr3:uid="{4F5FF271-4C57-4BE0-8F2C-F82C8551625C}" name="Plan" dataDxfId="22" totalsRowDxfId="21"/>
    <tableColumn id="4" xr3:uid="{8C17EB93-79B9-4E55-B8F7-BEB82F8253E9}" name="Start Date" dataDxfId="20" totalsRowDxfId="19"/>
    <tableColumn id="5" xr3:uid="{48CEDF9B-1689-482A-A828-5CCE7713264A}" name="Auto Renewal" dataDxfId="18" totalsRowDxfId="17"/>
    <tableColumn id="6" xr3:uid="{78B82374-9AA7-4E38-AE4F-78CDE6C83720}" name="Subscription Price" totalsRowFunction="custom" dataDxfId="16" totalsRowDxfId="15" dataCellStyle="Moeda">
      <totalsRowFormula>SUBTOTAL(109,F2:F294)</totalsRowFormula>
    </tableColumn>
    <tableColumn id="7" xr3:uid="{F2433F68-AF33-49D0-B1FB-19A396074EDE}" name="Subscription Type" totalsRowFunction="custom" dataDxfId="14" totalsRowDxfId="13">
      <totalsRowFormula>SUBTOTAL(109,G2:G294)</totalsRowFormula>
    </tableColumn>
    <tableColumn id="8" xr3:uid="{FD4D9C95-F6E5-4933-9068-A71FF7DF9343}" name="EA Play Season Pass" totalsRowFunction="count" dataDxfId="12" totalsRowDxfId="1"/>
    <tableColumn id="13" xr3:uid="{978DD0D2-834E-4CE4-A39B-30976086932F}" name="EA Play Season Pass_x000a_Price" totalsRowFunction="custom" dataDxfId="11" totalsRowDxfId="10" dataCellStyle="Moeda">
      <totalsRowFormula>SUBTOTAL(109,I2:I294)</totalsRowFormula>
    </tableColumn>
    <tableColumn id="9" xr3:uid="{6E29F111-C395-4580-9DAD-3407D9E8B1A4}" name="Minecraft Season Pass" totalsRowFunction="count" dataDxfId="9" totalsRowDxfId="0"/>
    <tableColumn id="10" xr3:uid="{EF544EAA-7F25-4FD5-A10E-8E62804DB9E3}" name="Minecraft Season Pass Price" totalsRowFunction="custom" dataDxfId="8" totalsRowDxfId="7" dataCellStyle="Moeda">
      <totalsRowFormula>SUBTOTAL(109,K2:K294)</totalsRowFormula>
    </tableColumn>
    <tableColumn id="11" xr3:uid="{7F6EB64A-1F07-4E48-9F0F-AC7D9DCD26F8}" name="Coupon Value" totalsRowFunction="custom" dataDxfId="6" totalsRowDxfId="5" dataCellStyle="Moeda">
      <totalsRowFormula>SUBTOTAL(109,L2:L294)</totalsRowFormula>
    </tableColumn>
    <tableColumn id="12" xr3:uid="{2B04ABC8-DE6F-426E-ADC0-D8AFC68CA58E}" name="Total Value" totalsRowFunction="custom" dataDxfId="4" totalsRowDxfId="3" dataCellStyle="Moeda">
      <totalsRowFormula>SUBTOTAL(109,M2:M294)</totalsRow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 codeName="Planilha1">
    <tabColor theme="3" tint="0.749992370372631"/>
  </sheetPr>
  <dimension ref="B3:P21"/>
  <sheetViews>
    <sheetView showGridLines="0" zoomScaleNormal="100" workbookViewId="0">
      <selection activeCell="D31" sqref="D31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 codeName="Planilha2">
    <tabColor theme="3" tint="0.749992370372631"/>
  </sheetPr>
  <dimension ref="A1:M297"/>
  <sheetViews>
    <sheetView topLeftCell="A23" zoomScale="90" zoomScaleNormal="90" workbookViewId="0">
      <selection activeCell="J1" sqref="J1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1.8554687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  <row r="297" spans="1:13" x14ac:dyDescent="0.25">
      <c r="A297" s="8"/>
      <c r="B297" s="8"/>
      <c r="C297" s="8"/>
      <c r="D297" s="8"/>
      <c r="E297" s="8"/>
      <c r="F297" s="16">
        <f>SUBTOTAL(109,F2:F294)</f>
        <v>2420</v>
      </c>
      <c r="G297" s="16">
        <f t="shared" ref="G297:M297" si="0">SUBTOTAL(109,G2:G294)</f>
        <v>0</v>
      </c>
      <c r="H297" s="19">
        <f>SUBTOTAL(103,Tabela1[EA Play Season Pass])</f>
        <v>194</v>
      </c>
      <c r="I297" s="16">
        <f t="shared" si="0"/>
        <v>2940</v>
      </c>
      <c r="J297" s="19">
        <f>SUBTOTAL(103,Tabela1[Minecraft Season Pass])</f>
        <v>194</v>
      </c>
      <c r="K297" s="16">
        <f t="shared" si="0"/>
        <v>3860</v>
      </c>
      <c r="L297" s="16">
        <f t="shared" si="0"/>
        <v>2046</v>
      </c>
      <c r="M297" s="16">
        <f t="shared" si="0"/>
        <v>7174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 codeName="Planilha3">
    <tabColor theme="3" tint="0.749992370372631"/>
  </sheetPr>
  <dimension ref="B4:D23"/>
  <sheetViews>
    <sheetView showGridLines="0" topLeftCell="A4" workbookViewId="0">
      <selection activeCell="B22" sqref="B22"/>
    </sheetView>
  </sheetViews>
  <sheetFormatPr defaultRowHeight="15" x14ac:dyDescent="0.25"/>
  <cols>
    <col min="2" max="2" width="34.42578125" bestFit="1" customWidth="1"/>
    <col min="3" max="3" width="26.140625" bestFit="1" customWidth="1"/>
    <col min="4" max="4" width="12.140625" bestFit="1" customWidth="1"/>
    <col min="5" max="5" width="8.7109375" bestFit="1" customWidth="1"/>
    <col min="6" max="7" width="10.7109375" bestFit="1" customWidth="1"/>
    <col min="8" max="8" width="8.28515625" bestFit="1" customWidth="1"/>
    <col min="9" max="9" width="9.42578125" bestFit="1" customWidth="1"/>
    <col min="10" max="10" width="15.5703125" bestFit="1" customWidth="1"/>
    <col min="11" max="11" width="9.7109375" bestFit="1" customWidth="1"/>
    <col min="12" max="12" width="8.28515625" bestFit="1" customWidth="1"/>
    <col min="13" max="13" width="9.42578125" bestFit="1" customWidth="1"/>
    <col min="14" max="14" width="15.5703125" bestFit="1" customWidth="1"/>
    <col min="15" max="15" width="12.140625" bestFit="1" customWidth="1"/>
    <col min="16" max="16" width="15.5703125" bestFit="1" customWidth="1"/>
    <col min="17" max="17" width="12.140625" bestFit="1" customWidth="1"/>
  </cols>
  <sheetData>
    <row r="4" spans="2:4" x14ac:dyDescent="0.25">
      <c r="B4" s="12" t="s">
        <v>313</v>
      </c>
      <c r="C4" t="s">
        <v>317</v>
      </c>
    </row>
    <row r="5" spans="2:4" x14ac:dyDescent="0.25">
      <c r="B5" s="13" t="s">
        <v>22</v>
      </c>
      <c r="C5" s="15">
        <v>101</v>
      </c>
    </row>
    <row r="6" spans="2:4" x14ac:dyDescent="0.25">
      <c r="B6" s="13" t="s">
        <v>314</v>
      </c>
      <c r="C6" s="15">
        <v>101</v>
      </c>
    </row>
    <row r="8" spans="2:4" x14ac:dyDescent="0.25">
      <c r="D8">
        <f>GETPIVOTDATA("Subscription Price",$B$4)</f>
        <v>101</v>
      </c>
    </row>
    <row r="11" spans="2:4" x14ac:dyDescent="0.25">
      <c r="B11" s="12" t="s">
        <v>313</v>
      </c>
      <c r="C11" t="s">
        <v>315</v>
      </c>
    </row>
    <row r="12" spans="2:4" x14ac:dyDescent="0.25">
      <c r="B12" s="13" t="s">
        <v>22</v>
      </c>
      <c r="C12" s="15">
        <v>505</v>
      </c>
    </row>
    <row r="13" spans="2:4" x14ac:dyDescent="0.25">
      <c r="B13" s="13" t="s">
        <v>314</v>
      </c>
      <c r="C13" s="15">
        <v>505</v>
      </c>
    </row>
    <row r="15" spans="2:4" x14ac:dyDescent="0.25">
      <c r="D15" s="18">
        <f>GETPIVOTDATA("Subscription Price",$B$11)</f>
        <v>505</v>
      </c>
    </row>
    <row r="18" spans="2:2" x14ac:dyDescent="0.25">
      <c r="B18" t="s">
        <v>318</v>
      </c>
    </row>
    <row r="19" spans="2:2" x14ac:dyDescent="0.25">
      <c r="B19" s="15">
        <v>101</v>
      </c>
    </row>
    <row r="22" spans="2:2" x14ac:dyDescent="0.25">
      <c r="B22" t="s">
        <v>319</v>
      </c>
    </row>
    <row r="23" spans="2:2" x14ac:dyDescent="0.25">
      <c r="B23" s="15">
        <v>101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 codeName="Planilha4"/>
  <dimension ref="A1:N11"/>
  <sheetViews>
    <sheetView showGridLines="0" showRowColHeaders="0" tabSelected="1" zoomScale="80" zoomScaleNormal="80" workbookViewId="0">
      <selection activeCell="G29" sqref="G29"/>
    </sheetView>
  </sheetViews>
  <sheetFormatPr defaultRowHeight="15" x14ac:dyDescent="0.25"/>
  <cols>
    <col min="1" max="1" width="29.140625" style="4" customWidth="1"/>
    <col min="2" max="2" width="3.5703125" customWidth="1"/>
    <col min="12" max="12" width="6.5703125" customWidth="1"/>
  </cols>
  <sheetData>
    <row r="1" spans="1:14" s="14" customFormat="1" ht="15" customHeight="1" x14ac:dyDescent="0.25">
      <c r="A1" s="4"/>
    </row>
    <row r="2" spans="1:14" ht="15" customHeight="1" x14ac:dyDescent="0.25">
      <c r="C2" s="17" t="s">
        <v>316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4" ht="15" customHeight="1" x14ac:dyDescent="0.25"/>
    <row r="4" spans="1:14" ht="15" customHeight="1" x14ac:dyDescent="0.25"/>
    <row r="5" spans="1:14" ht="15" customHeight="1" x14ac:dyDescent="0.25"/>
    <row r="6" spans="1:14" ht="15" customHeight="1" x14ac:dyDescent="0.25"/>
    <row r="7" spans="1:14" ht="15" customHeight="1" x14ac:dyDescent="0.25"/>
    <row r="8" spans="1:14" ht="15" customHeight="1" x14ac:dyDescent="0.25"/>
    <row r="9" spans="1:14" ht="15" customHeight="1" x14ac:dyDescent="0.25"/>
    <row r="10" spans="1:14" ht="15" customHeight="1" x14ac:dyDescent="0.25"/>
    <row r="11" spans="1:14" ht="15" customHeight="1" x14ac:dyDescent="0.25"/>
  </sheetData>
  <mergeCells count="1">
    <mergeCell ref="C2:N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Thiago Ramos</cp:lastModifiedBy>
  <dcterms:created xsi:type="dcterms:W3CDTF">2024-12-19T13:13:10Z</dcterms:created>
  <dcterms:modified xsi:type="dcterms:W3CDTF">2026-10-17T22:57:46Z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